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gnanasekararumugachamy/Downloads/"/>
    </mc:Choice>
  </mc:AlternateContent>
  <xr:revisionPtr revIDLastSave="0" documentId="13_ncr:1_{17917874-B508-B049-BCA4-3F46F0DBE896}" xr6:coauthVersionLast="47" xr6:coauthVersionMax="47" xr10:uidLastSave="{00000000-0000-0000-0000-000000000000}"/>
  <bookViews>
    <workbookView xWindow="0" yWindow="760" windowWidth="30240" windowHeight="17740" tabRatio="500" activeTab="1" xr2:uid="{00000000-000D-0000-FFFF-FFFF00000000}"/>
  </bookViews>
  <sheets>
    <sheet name="Dashboard" sheetId="1" r:id="rId1"/>
    <sheet name="Weekly Log" sheetId="2" r:id="rId2"/>
    <sheet name="Sleep Tracker" sheetId="3" r:id="rId3"/>
    <sheet name="Monthly Rollup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3" i="4" l="1"/>
  <c r="H22" i="4"/>
  <c r="J22" i="4" s="1"/>
  <c r="I19" i="1" s="1"/>
  <c r="H20" i="4"/>
  <c r="J20" i="4" s="1"/>
  <c r="I18" i="1" s="1"/>
  <c r="H19" i="4"/>
  <c r="J19" i="4" s="1"/>
  <c r="I17" i="1" s="1"/>
  <c r="H18" i="4"/>
  <c r="J18" i="4" s="1"/>
  <c r="I16" i="1" s="1"/>
  <c r="H17" i="4"/>
  <c r="J17" i="4" s="1"/>
  <c r="I15" i="1" s="1"/>
  <c r="H15" i="4"/>
  <c r="J15" i="4" s="1"/>
  <c r="I14" i="1" s="1"/>
  <c r="H14" i="4"/>
  <c r="J14" i="4" s="1"/>
  <c r="I13" i="1" s="1"/>
  <c r="H12" i="4"/>
  <c r="H11" i="4"/>
  <c r="H10" i="4"/>
  <c r="H9" i="4"/>
  <c r="J9" i="4" s="1"/>
  <c r="I12" i="1" s="1"/>
  <c r="H7" i="4"/>
  <c r="J7" i="4" s="1"/>
  <c r="I11" i="1" s="1"/>
  <c r="H6" i="4"/>
  <c r="J6" i="4" s="1"/>
  <c r="I10" i="1" s="1"/>
  <c r="J5" i="4"/>
  <c r="H5" i="4"/>
  <c r="G38" i="3"/>
  <c r="E38" i="3"/>
  <c r="D38" i="3"/>
  <c r="G37" i="3"/>
  <c r="E37" i="3"/>
  <c r="D37" i="3"/>
  <c r="G36" i="3"/>
  <c r="E36" i="3"/>
  <c r="D36" i="3"/>
  <c r="G35" i="3"/>
  <c r="E35" i="3"/>
  <c r="D35" i="3"/>
  <c r="G34" i="3"/>
  <c r="E34" i="3"/>
  <c r="D34" i="3"/>
  <c r="G33" i="3"/>
  <c r="E33" i="3"/>
  <c r="D33" i="3"/>
  <c r="G32" i="3"/>
  <c r="E32" i="3"/>
  <c r="D32" i="3"/>
  <c r="G31" i="3"/>
  <c r="E31" i="3"/>
  <c r="D31" i="3"/>
  <c r="G30" i="3"/>
  <c r="E30" i="3"/>
  <c r="D30" i="3"/>
  <c r="G29" i="3"/>
  <c r="E29" i="3"/>
  <c r="D29" i="3"/>
  <c r="G28" i="3"/>
  <c r="E28" i="3"/>
  <c r="D28" i="3"/>
  <c r="G27" i="3"/>
  <c r="E27" i="3"/>
  <c r="D27" i="3"/>
  <c r="G26" i="3"/>
  <c r="E26" i="3"/>
  <c r="D26" i="3"/>
  <c r="G25" i="3"/>
  <c r="E25" i="3"/>
  <c r="D25" i="3"/>
  <c r="G24" i="3"/>
  <c r="E24" i="3"/>
  <c r="D24" i="3"/>
  <c r="G23" i="3"/>
  <c r="E23" i="3"/>
  <c r="D23" i="3"/>
  <c r="G22" i="3"/>
  <c r="E22" i="3"/>
  <c r="D22" i="3"/>
  <c r="G21" i="3"/>
  <c r="E21" i="3"/>
  <c r="D21" i="3"/>
  <c r="G20" i="3"/>
  <c r="E20" i="3"/>
  <c r="D20" i="3"/>
  <c r="G19" i="3"/>
  <c r="E19" i="3"/>
  <c r="D19" i="3"/>
  <c r="G18" i="3"/>
  <c r="E18" i="3"/>
  <c r="D18" i="3"/>
  <c r="G17" i="3"/>
  <c r="E17" i="3"/>
  <c r="D17" i="3"/>
  <c r="G16" i="3"/>
  <c r="E16" i="3"/>
  <c r="D16" i="3"/>
  <c r="G15" i="3"/>
  <c r="E15" i="3"/>
  <c r="D15" i="3"/>
  <c r="G14" i="3"/>
  <c r="E14" i="3"/>
  <c r="D14" i="3"/>
  <c r="G13" i="3"/>
  <c r="E13" i="3"/>
  <c r="D13" i="3"/>
  <c r="G12" i="3"/>
  <c r="E12" i="3"/>
  <c r="D12" i="3"/>
  <c r="G11" i="3"/>
  <c r="E11" i="3"/>
  <c r="D11" i="3"/>
  <c r="G10" i="3"/>
  <c r="E10" i="3"/>
  <c r="D10" i="3"/>
  <c r="G9" i="3"/>
  <c r="E9" i="3"/>
  <c r="D9" i="3"/>
  <c r="G8" i="3"/>
  <c r="E8" i="3"/>
  <c r="D8" i="3"/>
  <c r="G7" i="3"/>
  <c r="E7" i="3"/>
  <c r="D7" i="3"/>
  <c r="G6" i="3"/>
  <c r="E6" i="3"/>
  <c r="D6" i="3"/>
  <c r="G5" i="3"/>
  <c r="E5" i="3"/>
  <c r="D5" i="3"/>
  <c r="G4" i="3"/>
  <c r="C44" i="3" s="1"/>
  <c r="E4" i="3"/>
  <c r="C43" i="3" s="1"/>
  <c r="D4" i="3"/>
  <c r="C42" i="3" s="1"/>
  <c r="I26" i="2"/>
  <c r="H26" i="2"/>
  <c r="G26" i="2"/>
  <c r="F26" i="2"/>
  <c r="E26" i="2"/>
  <c r="D26" i="2"/>
  <c r="C26" i="2"/>
  <c r="I25" i="2"/>
  <c r="H25" i="2"/>
  <c r="G25" i="2"/>
  <c r="F25" i="2"/>
  <c r="E25" i="2"/>
  <c r="D25" i="2"/>
  <c r="C25" i="2"/>
  <c r="I24" i="2"/>
  <c r="H24" i="2"/>
  <c r="G24" i="2"/>
  <c r="F24" i="2"/>
  <c r="E24" i="2"/>
  <c r="D24" i="2"/>
  <c r="C24" i="2"/>
  <c r="I4" i="2"/>
  <c r="H4" i="2"/>
  <c r="G4" i="2"/>
  <c r="F4" i="2"/>
  <c r="E4" i="2"/>
  <c r="D4" i="2"/>
  <c r="C4" i="2"/>
  <c r="H26" i="1"/>
  <c r="G26" i="1"/>
  <c r="F26" i="1"/>
  <c r="E26" i="1"/>
  <c r="D26" i="1"/>
  <c r="C26" i="1"/>
  <c r="H25" i="1"/>
  <c r="G25" i="1"/>
  <c r="F25" i="1"/>
  <c r="E25" i="1"/>
  <c r="D25" i="1"/>
  <c r="C25" i="1"/>
  <c r="H24" i="1"/>
  <c r="G24" i="1"/>
  <c r="F24" i="1"/>
  <c r="E24" i="1"/>
  <c r="D24" i="1"/>
  <c r="C24" i="1"/>
  <c r="H23" i="1"/>
  <c r="G23" i="1"/>
  <c r="F23" i="1"/>
  <c r="E23" i="1"/>
  <c r="D23" i="1"/>
  <c r="C23" i="1"/>
  <c r="H19" i="1"/>
  <c r="G19" i="1"/>
  <c r="F19" i="1"/>
  <c r="E19" i="1"/>
  <c r="D19" i="1"/>
  <c r="C19" i="1"/>
  <c r="H18" i="1"/>
  <c r="G18" i="1"/>
  <c r="F18" i="1"/>
  <c r="E18" i="1"/>
  <c r="D18" i="1"/>
  <c r="C18" i="1"/>
  <c r="H17" i="1"/>
  <c r="G17" i="1"/>
  <c r="F17" i="1"/>
  <c r="E17" i="1"/>
  <c r="D17" i="1"/>
  <c r="C17" i="1"/>
  <c r="H16" i="1"/>
  <c r="G16" i="1"/>
  <c r="F16" i="1"/>
  <c r="E16" i="1"/>
  <c r="D16" i="1"/>
  <c r="C16" i="1"/>
  <c r="H15" i="1"/>
  <c r="G15" i="1"/>
  <c r="F15" i="1"/>
  <c r="E15" i="1"/>
  <c r="D15" i="1"/>
  <c r="C15" i="1"/>
  <c r="H14" i="1"/>
  <c r="G14" i="1"/>
  <c r="F14" i="1"/>
  <c r="E14" i="1"/>
  <c r="D14" i="1"/>
  <c r="C14" i="1"/>
  <c r="H13" i="1"/>
  <c r="G13" i="1"/>
  <c r="F13" i="1"/>
  <c r="E13" i="1"/>
  <c r="D13" i="1"/>
  <c r="C13" i="1"/>
  <c r="H12" i="1"/>
  <c r="G12" i="1"/>
  <c r="F12" i="1"/>
  <c r="E12" i="1"/>
  <c r="D12" i="1"/>
  <c r="C12" i="1"/>
  <c r="H11" i="1"/>
  <c r="G11" i="1"/>
  <c r="F11" i="1"/>
  <c r="E11" i="1"/>
  <c r="D11" i="1"/>
  <c r="C11" i="1"/>
  <c r="H10" i="1"/>
  <c r="G10" i="1"/>
  <c r="F10" i="1"/>
  <c r="E10" i="1"/>
  <c r="D10" i="1"/>
  <c r="C10" i="1"/>
  <c r="I9" i="1"/>
  <c r="H9" i="1"/>
  <c r="G9" i="1"/>
  <c r="F9" i="1"/>
  <c r="E9" i="1"/>
  <c r="D9" i="1"/>
  <c r="C9" i="1"/>
  <c r="C41" i="3" l="1"/>
</calcChain>
</file>

<file path=xl/sharedStrings.xml><?xml version="1.0" encoding="utf-8"?>
<sst xmlns="http://schemas.openxmlformats.org/spreadsheetml/2006/main" count="148" uniqueCount="92">
  <si>
    <t>📊  Habit Dashboard — Monthly Overview</t>
  </si>
  <si>
    <t>Habits Tracked</t>
  </si>
  <si>
    <t>Sleep Target</t>
  </si>
  <si>
    <t>Weekly Score</t>
  </si>
  <si>
    <t>Streak Goal</t>
  </si>
  <si>
    <t>14</t>
  </si>
  <si>
    <t>10:30 PM</t>
  </si>
  <si>
    <t>See Rollup →</t>
  </si>
  <si>
    <t>Track daily!</t>
  </si>
  <si>
    <t>Habit Completion — Weekly % (paste from Monthly Rollup)</t>
  </si>
  <si>
    <t>Habit</t>
  </si>
  <si>
    <t>Wk 1</t>
  </si>
  <si>
    <t>Wk 2</t>
  </si>
  <si>
    <t>Wk 3</t>
  </si>
  <si>
    <t>Wk 4</t>
  </si>
  <si>
    <t>Wk 5</t>
  </si>
  <si>
    <t>Avg %</t>
  </si>
  <si>
    <t>vs Target</t>
  </si>
  <si>
    <t>Wake up time logged</t>
  </si>
  <si>
    <t>Drink lemon water</t>
  </si>
  <si>
    <t>Eat methi</t>
  </si>
  <si>
    <t>Morning walk / workout</t>
  </si>
  <si>
    <t>Eating nuts</t>
  </si>
  <si>
    <t>Drink 3L water</t>
  </si>
  <si>
    <t>Writing</t>
  </si>
  <si>
    <t>Meditation / mindfulness</t>
  </si>
  <si>
    <t>Read 10 pages</t>
  </si>
  <si>
    <t>Learning / skill improvement</t>
  </si>
  <si>
    <t>Slept on time (% days)</t>
  </si>
  <si>
    <t>Fitness Numbers &amp; Sleep — Monthly Averages</t>
  </si>
  <si>
    <t>Metric</t>
  </si>
  <si>
    <t>Monthly Avg</t>
  </si>
  <si>
    <t>Push ups (avg reps)</t>
  </si>
  <si>
    <t>Squats (avg reps)</t>
  </si>
  <si>
    <t>Plank (avg seconds)</t>
  </si>
  <si>
    <t>Avg mins late past 10:30 PM</t>
  </si>
  <si>
    <t>How to use:  1️⃣  Fill 'Weekly Log' each day  →  2️⃣  Log sleep in 'Sleep Tracker' for detailed analysis  →  3️⃣  Copy weekly % to 'Monthly Rollup'  →  4️⃣  This Dashboard auto-refreshes from Rollup</t>
  </si>
  <si>
    <t>🌿  Daily Habit Tracker — Weekly Log</t>
  </si>
  <si>
    <t>Week starting →</t>
  </si>
  <si>
    <t>Mon</t>
  </si>
  <si>
    <t>Tue</t>
  </si>
  <si>
    <t>Wed</t>
  </si>
  <si>
    <t>Thu</t>
  </si>
  <si>
    <t>Fri</t>
  </si>
  <si>
    <t>Sat</t>
  </si>
  <si>
    <t>Sun</t>
  </si>
  <si>
    <t>Notes</t>
  </si>
  <si>
    <t>Date</t>
  </si>
  <si>
    <t xml:space="preserve">  ▸  MORNING</t>
  </si>
  <si>
    <t>Wake up early</t>
  </si>
  <si>
    <t>e.g. 06:30</t>
  </si>
  <si>
    <t>Y / N</t>
  </si>
  <si>
    <t xml:space="preserve">  ▸  FITNESS</t>
  </si>
  <si>
    <t>Push ups</t>
  </si>
  <si>
    <t>enter count</t>
  </si>
  <si>
    <t>Squats</t>
  </si>
  <si>
    <t>Plank</t>
  </si>
  <si>
    <t xml:space="preserve">  ▸  NUTRITION</t>
  </si>
  <si>
    <t xml:space="preserve">  ▸  MIND</t>
  </si>
  <si>
    <t xml:space="preserve">  ▸  EVENING</t>
  </si>
  <si>
    <t>Sleep time (actual)</t>
  </si>
  <si>
    <t>e.g. 22:15 or 00:45</t>
  </si>
  <si>
    <t>✅  Daily Score (%)</t>
  </si>
  <si>
    <t>Auto-calculated</t>
  </si>
  <si>
    <t>🌙  Sleep: On Time? (≤22:30)</t>
  </si>
  <si>
    <t>Auto from sleep time</t>
  </si>
  <si>
    <t>⏱  Mins late past 10:30 PM</t>
  </si>
  <si>
    <t>0 = on time</t>
  </si>
  <si>
    <t>📝  Instructions:   ✅ Check habits → Y (yes) or N (no)   |   ⏰ Wake up time → HH:MM (e.g. 06:30)   |   😴 Sleep time → HH:MM (e.g. 22:15 for 10:15 PM, or 00:30 for after midnight)   |   💪 Push ups / Squats / Plank → enter the number</t>
  </si>
  <si>
    <t>🌙  Sleep Tracker — Daily Log &amp; Analysis</t>
  </si>
  <si>
    <t>Target bedtime: 10:30 PM  |  Enter sleep time as HH:MM (e.g. 22:15 or 00:45 for after midnight)</t>
  </si>
  <si>
    <t>Sleep Time</t>
  </si>
  <si>
    <t>On Time?</t>
  </si>
  <si>
    <t>Mins Late</t>
  </si>
  <si>
    <t>Wake Time</t>
  </si>
  <si>
    <t>Sleep Duration</t>
  </si>
  <si>
    <t>📊  Monthly Sleep Summary</t>
  </si>
  <si>
    <t>Days on time</t>
  </si>
  <si>
    <t>Days late</t>
  </si>
  <si>
    <t>Avg mins late</t>
  </si>
  <si>
    <t>Avg sleep hrs</t>
  </si>
  <si>
    <t>📅  Monthly Rollup — Habit Performance</t>
  </si>
  <si>
    <t>Month →</t>
  </si>
  <si>
    <t>May 2026</t>
  </si>
  <si>
    <t>Week 1 %</t>
  </si>
  <si>
    <t>Week 2 %</t>
  </si>
  <si>
    <t>Week 3 %</t>
  </si>
  <si>
    <t>Week 4 %</t>
  </si>
  <si>
    <t>Week 5 %</t>
  </si>
  <si>
    <t>Target</t>
  </si>
  <si>
    <t>—</t>
  </si>
  <si>
    <t>📝  Paste each week's completion % from 'Weekly Log' into Week 1–5 columns. Monthly average and vs-target calculate automatically.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</si>
</sst>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\%"/>
    <numFmt numFmtId="165" formatCode="0.0\%"/>
    <numFmt numFmtId="166" formatCode="\+0.0&quot;% &quot;;\-0.0&quot;% &quot;;\-"/>
    <numFmt numFmtId="167" formatCode="0.0"/>
    <numFmt numFmtId="168" formatCode="dd\-mmm\-yyyy"/>
    <numFmt numFmtId="169" formatCode="d\-mmm&quot; (&quot;ddd\)"/>
    <numFmt numFmtId="170" formatCode="0.0&quot; hrs&quot;"/>
  </numFmts>
  <fonts count="33" x14ac:knownFonts="1">
    <font>
      <sz val="11"/>
      <color theme="1"/>
      <name val="Calibri"/>
      <family val="2"/>
      <charset val="1"/>
    </font>
    <font>
      <b/>
      <sz val="15"/>
      <color rgb="FFFFFFFF"/>
      <name val="Arial"/>
      <family val="2"/>
    </font>
    <font>
      <b/>
      <sz val="9"/>
      <color rgb="FFFFFFFF"/>
      <name val="Arial"/>
      <family val="2"/>
    </font>
    <font>
      <b/>
      <sz val="16"/>
      <color rgb="FF0F6E56"/>
      <name val="Arial"/>
      <family val="2"/>
    </font>
    <font>
      <b/>
      <sz val="16"/>
      <color rgb="FF1A2E44"/>
      <name val="Arial"/>
      <family val="2"/>
    </font>
    <font>
      <b/>
      <sz val="16"/>
      <color rgb="FFBA7517"/>
      <name val="Arial"/>
      <family val="2"/>
    </font>
    <font>
      <b/>
      <sz val="16"/>
      <color rgb="FF5B2D8E"/>
      <name val="Arial"/>
      <family val="2"/>
    </font>
    <font>
      <b/>
      <sz val="11"/>
      <color rgb="FFFFFFFF"/>
      <name val="Arial"/>
      <family val="2"/>
    </font>
    <font>
      <sz val="9"/>
      <color rgb="FF2C2C2A"/>
      <name val="Arial"/>
      <family val="2"/>
    </font>
    <font>
      <sz val="9"/>
      <color rgb="FF000000"/>
      <name val="Arial"/>
      <family val="2"/>
    </font>
    <font>
      <b/>
      <sz val="9"/>
      <color rgb="FF0F6E56"/>
      <name val="Arial"/>
      <family val="2"/>
    </font>
    <font>
      <b/>
      <sz val="9"/>
      <color rgb="FF000000"/>
      <name val="Arial"/>
      <family val="2"/>
    </font>
    <font>
      <b/>
      <sz val="9"/>
      <color rgb="FF185FA5"/>
      <name val="Arial"/>
      <family val="2"/>
    </font>
    <font>
      <b/>
      <sz val="9"/>
      <color rgb="FFA32D2D"/>
      <name val="Arial"/>
      <family val="2"/>
    </font>
    <font>
      <i/>
      <sz val="9"/>
      <color rgb="FF888780"/>
      <name val="Arial"/>
      <family val="2"/>
    </font>
    <font>
      <b/>
      <sz val="10"/>
      <color rgb="FF0F6E56"/>
      <name val="Arial"/>
      <family val="2"/>
    </font>
    <font>
      <sz val="11"/>
      <color rgb="FF000000"/>
      <name val="Arial"/>
      <family val="2"/>
    </font>
    <font>
      <b/>
      <sz val="9"/>
      <color rgb="FF888780"/>
      <name val="Arial"/>
      <family val="2"/>
    </font>
    <font>
      <sz val="10"/>
      <color rgb="FF2C2C2A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i/>
      <sz val="9"/>
      <color rgb="FF9FE1CB"/>
      <name val="Arial"/>
      <family val="2"/>
    </font>
    <font>
      <sz val="9"/>
      <color rgb="FFA32D2D"/>
      <name val="Arial"/>
      <family val="2"/>
    </font>
    <font>
      <i/>
      <sz val="9"/>
      <color rgb="FFAAAACC"/>
      <name val="Arial"/>
      <family val="2"/>
    </font>
    <font>
      <sz val="10"/>
      <color rgb="FF1A2E44"/>
      <name val="Arial"/>
      <family val="2"/>
    </font>
    <font>
      <sz val="10"/>
      <color rgb="FF2E7D32"/>
      <name val="Arial"/>
      <family val="2"/>
    </font>
    <font>
      <sz val="9"/>
      <color rgb="FF185FA5"/>
      <name val="Arial"/>
      <family val="2"/>
    </font>
    <font>
      <b/>
      <sz val="9"/>
      <color rgb="FF2C2C2A"/>
      <name val="Arial"/>
      <family val="2"/>
    </font>
    <font>
      <b/>
      <sz val="11"/>
      <color rgb="FF1A2E44"/>
      <name val="Arial"/>
      <family val="2"/>
    </font>
    <font>
      <b/>
      <sz val="10"/>
      <color rgb="FFBA7517"/>
      <name val="Arial"/>
      <family val="2"/>
    </font>
    <font>
      <sz val="10"/>
      <color rgb="FF185FA5"/>
      <name val="Arial"/>
      <family val="2"/>
    </font>
    <font>
      <b/>
      <sz val="10"/>
      <color rgb="FF000000"/>
      <name val="Arial"/>
      <family val="2"/>
    </font>
    <font>
      <b/>
      <sz val="10"/>
      <color rgb="FF185FA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185FA5"/>
        <bgColor rgb="FF0F6E56"/>
      </patternFill>
    </fill>
    <fill>
      <patternFill patternType="solid">
        <fgColor rgb="FF0F6E56"/>
        <bgColor rgb="FF008080"/>
      </patternFill>
    </fill>
    <fill>
      <patternFill patternType="solid">
        <fgColor rgb="FF1A2E44"/>
        <bgColor rgb="FF2C2C2A"/>
      </patternFill>
    </fill>
    <fill>
      <patternFill patternType="solid">
        <fgColor rgb="FFBA7517"/>
        <bgColor rgb="FFFF6600"/>
      </patternFill>
    </fill>
    <fill>
      <patternFill patternType="solid">
        <fgColor rgb="FF5B2D8E"/>
        <bgColor rgb="FF993366"/>
      </patternFill>
    </fill>
    <fill>
      <patternFill patternType="solid">
        <fgColor rgb="FFFFFFFF"/>
        <bgColor rgb="FFFFF5F5"/>
      </patternFill>
    </fill>
    <fill>
      <patternFill patternType="solid">
        <fgColor rgb="FF2C2C2A"/>
        <bgColor rgb="FF1A2E44"/>
      </patternFill>
    </fill>
    <fill>
      <patternFill patternType="solid">
        <fgColor rgb="FFE6F1FB"/>
        <bgColor rgb="FFE3F2FD"/>
      </patternFill>
    </fill>
    <fill>
      <patternFill patternType="solid">
        <fgColor rgb="FF1D9E75"/>
        <bgColor rgb="FF008080"/>
      </patternFill>
    </fill>
    <fill>
      <patternFill patternType="solid">
        <fgColor rgb="FFE1F5EE"/>
        <bgColor rgb="FFE8F5E9"/>
      </patternFill>
    </fill>
    <fill>
      <patternFill patternType="solid">
        <fgColor rgb="FFF5F5F2"/>
        <bgColor rgb="FFF0F4FF"/>
      </patternFill>
    </fill>
    <fill>
      <patternFill patternType="solid">
        <fgColor rgb="FFFFF3CD"/>
        <bgColor rgb="FFFCEBEB"/>
      </patternFill>
    </fill>
    <fill>
      <patternFill patternType="solid">
        <fgColor rgb="FFE8F5E9"/>
        <bgColor rgb="FFE1F5EE"/>
      </patternFill>
    </fill>
    <fill>
      <patternFill patternType="solid">
        <fgColor rgb="FFE3F2FD"/>
        <bgColor rgb="FFE6F1FB"/>
      </patternFill>
    </fill>
    <fill>
      <patternFill patternType="solid">
        <fgColor rgb="FFF0E8FF"/>
        <bgColor rgb="FFE8EBF5"/>
      </patternFill>
    </fill>
    <fill>
      <patternFill patternType="solid">
        <fgColor rgb="FF085041"/>
        <bgColor rgb="FF155724"/>
      </patternFill>
    </fill>
    <fill>
      <patternFill patternType="solid">
        <fgColor rgb="FFEEF7FD"/>
        <bgColor rgb="FFF0F4FF"/>
      </patternFill>
    </fill>
    <fill>
      <patternFill patternType="solid">
        <fgColor rgb="FFFFF5F5"/>
        <bgColor rgb="FFF5F5F2"/>
      </patternFill>
    </fill>
    <fill>
      <patternFill patternType="solid">
        <fgColor rgb="FFF0F4FF"/>
        <bgColor rgb="FFEEF7FD"/>
      </patternFill>
    </fill>
    <fill>
      <patternFill patternType="solid">
        <fgColor rgb="FFE8EBF5"/>
        <bgColor rgb="FFE6F1FB"/>
      </patternFill>
    </fill>
  </fills>
  <borders count="3">
    <border>
      <left/>
      <right/>
      <top/>
      <bottom/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7" fillId="3" borderId="1" xfId="0" applyFont="1" applyFill="1" applyBorder="1" applyAlignment="1">
      <alignment horizontal="left" vertical="center"/>
    </xf>
    <xf numFmtId="0" fontId="0" fillId="6" borderId="0" xfId="0" applyFill="1"/>
    <xf numFmtId="0" fontId="0" fillId="5" borderId="0" xfId="0" applyFill="1"/>
    <xf numFmtId="0" fontId="0" fillId="4" borderId="0" xfId="0" applyFill="1"/>
    <xf numFmtId="0" fontId="0" fillId="3" borderId="0" xfId="0" applyFill="1"/>
    <xf numFmtId="0" fontId="6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8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left" vertical="center"/>
    </xf>
    <xf numFmtId="164" fontId="9" fillId="9" borderId="2" xfId="0" applyNumberFormat="1" applyFont="1" applyFill="1" applyBorder="1" applyAlignment="1">
      <alignment horizontal="center" vertical="center"/>
    </xf>
    <xf numFmtId="165" fontId="10" fillId="9" borderId="2" xfId="0" applyNumberFormat="1" applyFont="1" applyFill="1" applyBorder="1" applyAlignment="1">
      <alignment horizontal="center" vertical="center"/>
    </xf>
    <xf numFmtId="166" fontId="11" fillId="9" borderId="2" xfId="0" applyNumberFormat="1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center"/>
    </xf>
    <xf numFmtId="164" fontId="9" fillId="7" borderId="2" xfId="0" applyNumberFormat="1" applyFont="1" applyFill="1" applyBorder="1" applyAlignment="1">
      <alignment horizontal="center" vertical="center"/>
    </xf>
    <xf numFmtId="165" fontId="10" fillId="7" borderId="2" xfId="0" applyNumberFormat="1" applyFont="1" applyFill="1" applyBorder="1" applyAlignment="1">
      <alignment horizontal="center" vertical="center"/>
    </xf>
    <xf numFmtId="166" fontId="11" fillId="7" borderId="2" xfId="0" applyNumberFormat="1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left" vertical="center"/>
    </xf>
    <xf numFmtId="167" fontId="9" fillId="11" borderId="2" xfId="0" applyNumberFormat="1" applyFont="1" applyFill="1" applyBorder="1" applyAlignment="1">
      <alignment horizontal="center" vertical="center"/>
    </xf>
    <xf numFmtId="167" fontId="12" fillId="11" borderId="2" xfId="0" applyNumberFormat="1" applyFont="1" applyFill="1" applyBorder="1" applyAlignment="1">
      <alignment horizontal="center" vertical="center"/>
    </xf>
    <xf numFmtId="167" fontId="9" fillId="7" borderId="2" xfId="0" applyNumberFormat="1" applyFont="1" applyFill="1" applyBorder="1" applyAlignment="1">
      <alignment horizontal="center" vertical="center"/>
    </xf>
    <xf numFmtId="167" fontId="12" fillId="7" borderId="2" xfId="0" applyNumberFormat="1" applyFont="1" applyFill="1" applyBorder="1" applyAlignment="1">
      <alignment horizontal="center" vertical="center"/>
    </xf>
    <xf numFmtId="167" fontId="13" fillId="7" borderId="2" xfId="0" applyNumberFormat="1" applyFont="1" applyFill="1" applyBorder="1" applyAlignment="1">
      <alignment horizontal="center" vertical="center"/>
    </xf>
    <xf numFmtId="168" fontId="15" fillId="11" borderId="0" xfId="0" applyNumberFormat="1" applyFont="1" applyFill="1" applyAlignment="1">
      <alignment horizontal="center" vertical="center"/>
    </xf>
    <xf numFmtId="0" fontId="16" fillId="12" borderId="2" xfId="0" applyFont="1" applyFill="1" applyBorder="1" applyAlignment="1">
      <alignment horizontal="left" vertical="center"/>
    </xf>
    <xf numFmtId="0" fontId="17" fillId="12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left" vertical="center"/>
    </xf>
    <xf numFmtId="16" fontId="2" fillId="8" borderId="2" xfId="0" applyNumberFormat="1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left" vertical="center"/>
    </xf>
    <xf numFmtId="0" fontId="18" fillId="13" borderId="2" xfId="0" applyFont="1" applyFill="1" applyBorder="1" applyAlignment="1">
      <alignment horizontal="left" vertical="center"/>
    </xf>
    <xf numFmtId="49" fontId="19" fillId="13" borderId="2" xfId="0" applyNumberFormat="1" applyFont="1" applyFill="1" applyBorder="1" applyAlignment="1">
      <alignment horizontal="center" vertical="center"/>
    </xf>
    <xf numFmtId="0" fontId="14" fillId="13" borderId="2" xfId="0" applyFont="1" applyFill="1" applyBorder="1" applyAlignment="1">
      <alignment horizontal="left" vertical="center"/>
    </xf>
    <xf numFmtId="0" fontId="18" fillId="7" borderId="2" xfId="0" applyFont="1" applyFill="1" applyBorder="1" applyAlignment="1">
      <alignment horizontal="left" vertical="center"/>
    </xf>
    <xf numFmtId="49" fontId="19" fillId="7" borderId="2" xfId="0" applyNumberFormat="1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left" vertical="center"/>
    </xf>
    <xf numFmtId="0" fontId="18" fillId="14" borderId="2" xfId="0" applyFont="1" applyFill="1" applyBorder="1" applyAlignment="1">
      <alignment horizontal="left" vertical="center"/>
    </xf>
    <xf numFmtId="49" fontId="19" fillId="14" borderId="2" xfId="0" applyNumberFormat="1" applyFont="1" applyFill="1" applyBorder="1" applyAlignment="1">
      <alignment horizontal="center" vertical="center"/>
    </xf>
    <xf numFmtId="0" fontId="14" fillId="14" borderId="2" xfId="0" applyFont="1" applyFill="1" applyBorder="1" applyAlignment="1">
      <alignment horizontal="left" vertical="center"/>
    </xf>
    <xf numFmtId="1" fontId="19" fillId="7" borderId="2" xfId="0" applyNumberFormat="1" applyFont="1" applyFill="1" applyBorder="1" applyAlignment="1">
      <alignment horizontal="center" vertical="center"/>
    </xf>
    <xf numFmtId="1" fontId="19" fillId="14" borderId="2" xfId="0" applyNumberFormat="1" applyFont="1" applyFill="1" applyBorder="1" applyAlignment="1">
      <alignment horizontal="center" vertical="center"/>
    </xf>
    <xf numFmtId="0" fontId="18" fillId="15" borderId="2" xfId="0" applyFont="1" applyFill="1" applyBorder="1" applyAlignment="1">
      <alignment horizontal="left" vertical="center"/>
    </xf>
    <xf numFmtId="49" fontId="19" fillId="15" borderId="2" xfId="0" applyNumberFormat="1" applyFont="1" applyFill="1" applyBorder="1" applyAlignment="1">
      <alignment horizontal="center" vertical="center"/>
    </xf>
    <xf numFmtId="0" fontId="14" fillId="15" borderId="2" xfId="0" applyFont="1" applyFill="1" applyBorder="1" applyAlignment="1">
      <alignment horizontal="left" vertical="center"/>
    </xf>
    <xf numFmtId="0" fontId="18" fillId="16" borderId="2" xfId="0" applyFont="1" applyFill="1" applyBorder="1" applyAlignment="1">
      <alignment horizontal="left" vertical="center"/>
    </xf>
    <xf numFmtId="49" fontId="19" fillId="16" borderId="2" xfId="0" applyNumberFormat="1" applyFont="1" applyFill="1" applyBorder="1" applyAlignment="1">
      <alignment horizontal="center" vertical="center"/>
    </xf>
    <xf numFmtId="0" fontId="14" fillId="16" borderId="2" xfId="0" applyFont="1" applyFill="1" applyBorder="1" applyAlignment="1">
      <alignment horizontal="left" vertical="center"/>
    </xf>
    <xf numFmtId="0" fontId="20" fillId="17" borderId="2" xfId="0" applyFont="1" applyFill="1" applyBorder="1" applyAlignment="1">
      <alignment horizontal="left" vertical="center"/>
    </xf>
    <xf numFmtId="164" fontId="7" fillId="17" borderId="2" xfId="0" applyNumberFormat="1" applyFont="1" applyFill="1" applyBorder="1" applyAlignment="1">
      <alignment horizontal="center" vertical="center"/>
    </xf>
    <xf numFmtId="0" fontId="21" fillId="17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9" fillId="18" borderId="2" xfId="0" applyFont="1" applyFill="1" applyBorder="1" applyAlignment="1">
      <alignment horizontal="center" vertical="center"/>
    </xf>
    <xf numFmtId="0" fontId="14" fillId="18" borderId="2" xfId="0" applyFont="1" applyFill="1" applyBorder="1" applyAlignment="1">
      <alignment horizontal="left" vertical="center"/>
    </xf>
    <xf numFmtId="1" fontId="22" fillId="19" borderId="2" xfId="0" applyNumberFormat="1" applyFont="1" applyFill="1" applyBorder="1" applyAlignment="1">
      <alignment horizontal="center" vertical="center"/>
    </xf>
    <xf numFmtId="0" fontId="14" fillId="19" borderId="2" xfId="0" applyFont="1" applyFill="1" applyBorder="1" applyAlignment="1">
      <alignment horizontal="left" vertical="center"/>
    </xf>
    <xf numFmtId="169" fontId="9" fillId="20" borderId="2" xfId="0" applyNumberFormat="1" applyFont="1" applyFill="1" applyBorder="1" applyAlignment="1">
      <alignment horizontal="center" vertical="center"/>
    </xf>
    <xf numFmtId="49" fontId="24" fillId="20" borderId="2" xfId="0" applyNumberFormat="1" applyFont="1" applyFill="1" applyBorder="1" applyAlignment="1">
      <alignment horizontal="center" vertical="center"/>
    </xf>
    <xf numFmtId="0" fontId="9" fillId="20" borderId="2" xfId="0" applyFont="1" applyFill="1" applyBorder="1" applyAlignment="1">
      <alignment horizontal="center" vertical="center"/>
    </xf>
    <xf numFmtId="1" fontId="22" fillId="20" borderId="2" xfId="0" applyNumberFormat="1" applyFont="1" applyFill="1" applyBorder="1" applyAlignment="1">
      <alignment horizontal="center" vertical="center"/>
    </xf>
    <xf numFmtId="49" fontId="25" fillId="20" borderId="2" xfId="0" applyNumberFormat="1" applyFont="1" applyFill="1" applyBorder="1" applyAlignment="1">
      <alignment horizontal="center" vertical="center"/>
    </xf>
    <xf numFmtId="170" fontId="26" fillId="20" borderId="2" xfId="0" applyNumberFormat="1" applyFont="1" applyFill="1" applyBorder="1" applyAlignment="1">
      <alignment horizontal="center" vertical="center"/>
    </xf>
    <xf numFmtId="0" fontId="14" fillId="20" borderId="2" xfId="0" applyFont="1" applyFill="1" applyBorder="1" applyAlignment="1">
      <alignment horizontal="left" vertical="center"/>
    </xf>
    <xf numFmtId="169" fontId="9" fillId="7" borderId="2" xfId="0" applyNumberFormat="1" applyFont="1" applyFill="1" applyBorder="1" applyAlignment="1">
      <alignment horizontal="center" vertical="center"/>
    </xf>
    <xf numFmtId="49" fontId="24" fillId="7" borderId="2" xfId="0" applyNumberFormat="1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1" fontId="22" fillId="7" borderId="2" xfId="0" applyNumberFormat="1" applyFont="1" applyFill="1" applyBorder="1" applyAlignment="1">
      <alignment horizontal="center" vertical="center"/>
    </xf>
    <xf numFmtId="49" fontId="25" fillId="7" borderId="2" xfId="0" applyNumberFormat="1" applyFont="1" applyFill="1" applyBorder="1" applyAlignment="1">
      <alignment horizontal="center" vertical="center"/>
    </xf>
    <xf numFmtId="170" fontId="26" fillId="7" borderId="2" xfId="0" applyNumberFormat="1" applyFont="1" applyFill="1" applyBorder="1" applyAlignment="1">
      <alignment horizontal="center" vertical="center"/>
    </xf>
    <xf numFmtId="169" fontId="11" fillId="21" borderId="2" xfId="0" applyNumberFormat="1" applyFont="1" applyFill="1" applyBorder="1" applyAlignment="1">
      <alignment horizontal="center" vertical="center"/>
    </xf>
    <xf numFmtId="0" fontId="27" fillId="12" borderId="2" xfId="0" applyFont="1" applyFill="1" applyBorder="1" applyAlignment="1">
      <alignment horizontal="left" vertical="center"/>
    </xf>
    <xf numFmtId="1" fontId="28" fillId="9" borderId="2" xfId="0" applyNumberFormat="1" applyFont="1" applyFill="1" applyBorder="1" applyAlignment="1">
      <alignment horizontal="center" vertical="center"/>
    </xf>
    <xf numFmtId="0" fontId="0" fillId="12" borderId="2" xfId="0" applyFill="1" applyBorder="1"/>
    <xf numFmtId="167" fontId="28" fillId="9" borderId="2" xfId="0" applyNumberFormat="1" applyFont="1" applyFill="1" applyBorder="1" applyAlignment="1">
      <alignment horizontal="center" vertical="center"/>
    </xf>
    <xf numFmtId="0" fontId="29" fillId="13" borderId="2" xfId="0" applyFont="1" applyFill="1" applyBorder="1" applyAlignment="1">
      <alignment horizontal="center" vertical="center"/>
    </xf>
    <xf numFmtId="164" fontId="30" fillId="7" borderId="2" xfId="0" applyNumberFormat="1" applyFont="1" applyFill="1" applyBorder="1" applyAlignment="1">
      <alignment horizontal="center" vertical="center"/>
    </xf>
    <xf numFmtId="165" fontId="15" fillId="7" borderId="2" xfId="0" applyNumberFormat="1" applyFont="1" applyFill="1" applyBorder="1" applyAlignment="1">
      <alignment horizontal="center" vertical="center"/>
    </xf>
    <xf numFmtId="166" fontId="31" fillId="7" borderId="2" xfId="0" applyNumberFormat="1" applyFont="1" applyFill="1" applyBorder="1" applyAlignment="1">
      <alignment horizontal="center" vertical="center"/>
    </xf>
    <xf numFmtId="164" fontId="30" fillId="13" borderId="2" xfId="0" applyNumberFormat="1" applyFont="1" applyFill="1" applyBorder="1" applyAlignment="1">
      <alignment horizontal="center" vertical="center"/>
    </xf>
    <xf numFmtId="165" fontId="15" fillId="13" borderId="2" xfId="0" applyNumberFormat="1" applyFont="1" applyFill="1" applyBorder="1" applyAlignment="1">
      <alignment horizontal="center" vertical="center"/>
    </xf>
    <xf numFmtId="166" fontId="31" fillId="13" borderId="2" xfId="0" applyNumberFormat="1" applyFont="1" applyFill="1" applyBorder="1" applyAlignment="1">
      <alignment horizontal="center" vertical="center"/>
    </xf>
    <xf numFmtId="167" fontId="30" fillId="13" borderId="2" xfId="0" applyNumberFormat="1" applyFont="1" applyFill="1" applyBorder="1" applyAlignment="1">
      <alignment horizontal="center" vertical="center"/>
    </xf>
    <xf numFmtId="167" fontId="32" fillId="13" borderId="2" xfId="0" applyNumberFormat="1" applyFont="1" applyFill="1" applyBorder="1" applyAlignment="1">
      <alignment horizontal="center" vertical="center"/>
    </xf>
    <xf numFmtId="0" fontId="14" fillId="13" borderId="2" xfId="0" applyFont="1" applyFill="1" applyBorder="1" applyAlignment="1">
      <alignment horizontal="center" vertical="center"/>
    </xf>
    <xf numFmtId="167" fontId="30" fillId="7" borderId="2" xfId="0" applyNumberFormat="1" applyFont="1" applyFill="1" applyBorder="1" applyAlignment="1">
      <alignment horizontal="center" vertical="center"/>
    </xf>
    <xf numFmtId="167" fontId="32" fillId="7" borderId="2" xfId="0" applyNumberFormat="1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/>
    </xf>
    <xf numFmtId="0" fontId="14" fillId="12" borderId="1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left" vertical="center"/>
    </xf>
    <xf numFmtId="0" fontId="14" fillId="7" borderId="1" xfId="0" applyFont="1" applyFill="1" applyBorder="1" applyAlignment="1">
      <alignment horizontal="left" vertical="center"/>
    </xf>
    <xf numFmtId="0" fontId="2" fillId="10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23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</cellXfs>
  <cellStyles count="1">
    <cellStyle name="Normal" xfId="0" builtinId="0"/>
  </cellStyles>
  <dxfs count="22">
    <dxf>
      <fill>
        <patternFill>
          <bgColor rgb="FFE1F5EE"/>
        </patternFill>
      </fill>
    </dxf>
    <dxf>
      <fill>
        <patternFill>
          <bgColor rgb="FFFCEBEB"/>
        </patternFill>
      </fill>
    </dxf>
    <dxf>
      <font>
        <b/>
        <sz val="10"/>
        <color rgb="FF721C24"/>
        <name val="Arial"/>
        <charset val="1"/>
      </font>
      <fill>
        <patternFill>
          <bgColor rgb="FFFADBD8"/>
        </patternFill>
      </fill>
    </dxf>
    <dxf>
      <font>
        <b/>
        <sz val="10"/>
        <color rgb="FF155724"/>
        <name val="Arial"/>
        <charset val="1"/>
      </font>
      <fill>
        <patternFill>
          <bgColor rgb="FFD4EDDA"/>
        </patternFill>
      </fill>
    </dxf>
    <dxf>
      <font>
        <b/>
        <sz val="10"/>
        <color rgb="FF155724"/>
        <name val="Arial"/>
        <charset val="1"/>
      </font>
      <fill>
        <patternFill>
          <bgColor rgb="FFD4EDDA"/>
        </patternFill>
      </fill>
    </dxf>
    <dxf>
      <font>
        <b/>
        <sz val="10"/>
        <color rgb="FF721C24"/>
        <name val="Arial"/>
        <charset val="1"/>
      </font>
      <fill>
        <patternFill>
          <bgColor rgb="FFFADBD8"/>
        </patternFill>
      </fill>
    </dxf>
    <dxf>
      <font>
        <b/>
        <sz val="10"/>
        <color rgb="FF721C24"/>
        <name val="Arial"/>
        <charset val="1"/>
      </font>
      <fill>
        <patternFill>
          <bgColor rgb="FFFADBD8"/>
        </patternFill>
      </fill>
    </dxf>
    <dxf>
      <font>
        <b/>
        <sz val="10"/>
        <color rgb="FF155724"/>
        <name val="Arial"/>
        <charset val="1"/>
      </font>
      <fill>
        <patternFill>
          <bgColor rgb="FFD4EDDA"/>
        </patternFill>
      </fill>
    </dxf>
    <dxf>
      <font>
        <b/>
        <sz val="10"/>
        <color rgb="FF721C24"/>
        <name val="Arial"/>
        <charset val="1"/>
      </font>
      <fill>
        <patternFill>
          <bgColor rgb="FFFADBD8"/>
        </patternFill>
      </fill>
    </dxf>
    <dxf>
      <font>
        <b/>
        <sz val="10"/>
        <color rgb="FF155724"/>
        <name val="Arial"/>
        <charset val="1"/>
      </font>
      <fill>
        <patternFill>
          <bgColor rgb="FFD4EDDA"/>
        </patternFill>
      </fill>
    </dxf>
    <dxf>
      <font>
        <b/>
        <sz val="10"/>
        <color rgb="FF721C24"/>
        <name val="Arial"/>
        <charset val="1"/>
      </font>
      <fill>
        <patternFill>
          <bgColor rgb="FFFADBD8"/>
        </patternFill>
      </fill>
    </dxf>
    <dxf>
      <font>
        <b/>
        <sz val="10"/>
        <color rgb="FF155724"/>
        <name val="Arial"/>
        <charset val="1"/>
      </font>
      <fill>
        <patternFill>
          <bgColor rgb="FFD4EDDA"/>
        </patternFill>
      </fill>
    </dxf>
    <dxf>
      <font>
        <b/>
        <sz val="10"/>
        <color rgb="FF155724"/>
        <name val="Arial"/>
        <charset val="1"/>
      </font>
      <fill>
        <patternFill>
          <bgColor rgb="FFD4EDDA"/>
        </patternFill>
      </fill>
    </dxf>
    <dxf>
      <font>
        <b/>
        <sz val="10"/>
        <color rgb="FF721C24"/>
        <name val="Arial"/>
        <charset val="1"/>
      </font>
      <fill>
        <patternFill>
          <bgColor rgb="FFFADBD8"/>
        </patternFill>
      </fill>
    </dxf>
    <dxf>
      <font>
        <b/>
        <sz val="10"/>
        <color rgb="FF721C24"/>
        <name val="Arial"/>
        <charset val="1"/>
      </font>
      <fill>
        <patternFill>
          <bgColor rgb="FFFADBD8"/>
        </patternFill>
      </fill>
    </dxf>
    <dxf>
      <font>
        <b/>
        <sz val="10"/>
        <color rgb="FF721C24"/>
        <name val="Arial"/>
        <charset val="1"/>
      </font>
      <fill>
        <patternFill>
          <bgColor rgb="FFFADBD8"/>
        </patternFill>
      </fill>
    </dxf>
    <dxf>
      <font>
        <b/>
        <sz val="10"/>
        <color rgb="FF155724"/>
        <name val="Arial"/>
        <charset val="1"/>
      </font>
      <fill>
        <patternFill>
          <bgColor rgb="FFD4EDDA"/>
        </patternFill>
      </fill>
    </dxf>
    <dxf>
      <font>
        <b/>
        <sz val="10"/>
        <color rgb="FF155724"/>
        <name val="Arial"/>
        <charset val="1"/>
      </font>
      <fill>
        <patternFill>
          <bgColor rgb="FFD4EDDA"/>
        </patternFill>
      </fill>
    </dxf>
    <dxf>
      <font>
        <b/>
        <sz val="10"/>
        <color rgb="FF155724"/>
        <name val="Arial"/>
        <charset val="1"/>
      </font>
      <fill>
        <patternFill>
          <bgColor rgb="FFD4EDDA"/>
        </patternFill>
      </fill>
    </dxf>
    <dxf>
      <font>
        <b/>
        <sz val="10"/>
        <color rgb="FF721C24"/>
        <name val="Arial"/>
        <charset val="1"/>
      </font>
      <fill>
        <patternFill>
          <bgColor rgb="FFFADBD8"/>
        </patternFill>
      </fill>
    </dxf>
    <dxf>
      <font>
        <b/>
        <sz val="10"/>
        <color rgb="FF721C24"/>
        <name val="Arial"/>
        <charset val="1"/>
      </font>
      <fill>
        <patternFill>
          <bgColor rgb="FFFADBD8"/>
        </patternFill>
      </fill>
    </dxf>
    <dxf>
      <font>
        <b/>
        <sz val="10"/>
        <color rgb="FF155724"/>
        <name val="Arial"/>
        <charset val="1"/>
      </font>
      <fill>
        <patternFill>
          <bgColor rgb="FFD4ED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CEBEB"/>
      <rgbColor rgb="FFFF00FF"/>
      <rgbColor rgb="FF00FFFF"/>
      <rgbColor rgb="FF721C24"/>
      <rgbColor rgb="FF2E7D32"/>
      <rgbColor rgb="FF000080"/>
      <rgbColor rgb="FFBA7517"/>
      <rgbColor rgb="FF800080"/>
      <rgbColor rgb="FF0F6E56"/>
      <rgbColor rgb="FFAAAACC"/>
      <rgbColor rgb="FF888780"/>
      <rgbColor rgb="FFE6F1FB"/>
      <rgbColor rgb="FF993366"/>
      <rgbColor rgb="FFFFF3CD"/>
      <rgbColor rgb="FFE1F5EE"/>
      <rgbColor rgb="FF660066"/>
      <rgbColor rgb="FFEEF7FD"/>
      <rgbColor rgb="FF185FA5"/>
      <rgbColor rgb="FFDDDDDD"/>
      <rgbColor rgb="FF000080"/>
      <rgbColor rgb="FFFF00FF"/>
      <rgbColor rgb="FFF5F5F2"/>
      <rgbColor rgb="FF00FFFF"/>
      <rgbColor rgb="FF800080"/>
      <rgbColor rgb="FF800000"/>
      <rgbColor rgb="FF008080"/>
      <rgbColor rgb="FF0000FF"/>
      <rgbColor rgb="FF00CCFF"/>
      <rgbColor rgb="FFE3F2FD"/>
      <rgbColor rgb="FFD4EDDA"/>
      <rgbColor rgb="FFE8F5E9"/>
      <rgbColor rgb="FF9FE1CB"/>
      <rgbColor rgb="FFF0E8FF"/>
      <rgbColor rgb="FFE8EBF5"/>
      <rgbColor rgb="FFFADBD8"/>
      <rgbColor rgb="FF3366FF"/>
      <rgbColor rgb="FF33CCCC"/>
      <rgbColor rgb="FF99CC00"/>
      <rgbColor rgb="FFFFF5F5"/>
      <rgbColor rgb="FFFF9900"/>
      <rgbColor rgb="FFFF6600"/>
      <rgbColor rgb="FF666699"/>
      <rgbColor rgb="FFF0F4FF"/>
      <rgbColor rgb="FF1A2E44"/>
      <rgbColor rgb="FF1D9E75"/>
      <rgbColor rgb="FF085041"/>
      <rgbColor rgb="FF155724"/>
      <rgbColor rgb="FFA32D2D"/>
      <rgbColor rgb="FF993366"/>
      <rgbColor rgb="FF5B2D8E"/>
      <rgbColor rgb="FF2C2C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85FA5"/>
  </sheetPr>
  <dimension ref="A1:M28"/>
  <sheetViews>
    <sheetView showGridLines="0" zoomScaleNormal="100" workbookViewId="0"/>
  </sheetViews>
  <sheetFormatPr baseColWidth="10" defaultColWidth="8.6640625" defaultRowHeight="15" x14ac:dyDescent="0.2"/>
  <cols>
    <col min="1" max="1" width="2.5" customWidth="1"/>
    <col min="2" max="2" width="28" customWidth="1"/>
    <col min="3" max="13" width="11" customWidth="1"/>
  </cols>
  <sheetData>
    <row r="1" spans="1:13" ht="39.75" customHeight="1" x14ac:dyDescent="0.2">
      <c r="A1" s="15"/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7.5" customHeight="1" x14ac:dyDescent="0.2"/>
    <row r="3" spans="1:13" ht="19.5" customHeight="1" x14ac:dyDescent="0.2">
      <c r="B3" s="13" t="s">
        <v>1</v>
      </c>
      <c r="C3" s="13"/>
      <c r="D3" s="13"/>
      <c r="E3" s="12" t="s">
        <v>2</v>
      </c>
      <c r="F3" s="12"/>
      <c r="G3" s="12"/>
      <c r="H3" s="11" t="s">
        <v>3</v>
      </c>
      <c r="I3" s="11"/>
      <c r="J3" s="11"/>
      <c r="K3" s="10" t="s">
        <v>4</v>
      </c>
      <c r="L3" s="10"/>
      <c r="M3" s="10"/>
    </row>
    <row r="4" spans="1:13" ht="33.75" customHeight="1" x14ac:dyDescent="0.2">
      <c r="B4" s="9" t="s">
        <v>5</v>
      </c>
      <c r="C4" s="9"/>
      <c r="D4" s="9"/>
      <c r="E4" s="8" t="s">
        <v>6</v>
      </c>
      <c r="F4" s="8"/>
      <c r="G4" s="8"/>
      <c r="H4" s="7" t="s">
        <v>7</v>
      </c>
      <c r="I4" s="7"/>
      <c r="J4" s="7"/>
      <c r="K4" s="6" t="s">
        <v>8</v>
      </c>
      <c r="L4" s="6"/>
      <c r="M4" s="6"/>
    </row>
    <row r="5" spans="1:13" ht="4.5" customHeight="1" x14ac:dyDescent="0.2">
      <c r="B5" s="5"/>
      <c r="C5" s="5"/>
      <c r="D5" s="5"/>
      <c r="E5" s="4"/>
      <c r="F5" s="4"/>
      <c r="G5" s="4"/>
      <c r="H5" s="3"/>
      <c r="I5" s="3"/>
      <c r="J5" s="3"/>
      <c r="K5" s="2"/>
      <c r="L5" s="2"/>
      <c r="M5" s="2"/>
    </row>
    <row r="6" spans="1:13" ht="7.5" customHeight="1" x14ac:dyDescent="0.2"/>
    <row r="7" spans="1:13" ht="25.5" customHeight="1" x14ac:dyDescent="0.2">
      <c r="B7" s="1" t="s">
        <v>9</v>
      </c>
      <c r="C7" s="1"/>
      <c r="D7" s="1"/>
      <c r="E7" s="1"/>
      <c r="F7" s="1"/>
      <c r="G7" s="1"/>
      <c r="H7" s="1"/>
      <c r="I7" s="1"/>
    </row>
    <row r="8" spans="1:13" ht="21.75" customHeight="1" x14ac:dyDescent="0.2">
      <c r="B8" s="19" t="s">
        <v>10</v>
      </c>
      <c r="C8" s="19" t="s">
        <v>11</v>
      </c>
      <c r="D8" s="19" t="s">
        <v>12</v>
      </c>
      <c r="E8" s="19" t="s">
        <v>13</v>
      </c>
      <c r="F8" s="19" t="s">
        <v>14</v>
      </c>
      <c r="G8" s="19" t="s">
        <v>15</v>
      </c>
      <c r="H8" s="19" t="s">
        <v>16</v>
      </c>
      <c r="I8" s="19" t="s">
        <v>17</v>
      </c>
    </row>
    <row r="9" spans="1:13" ht="21.75" customHeight="1" x14ac:dyDescent="0.2">
      <c r="B9" s="20" t="s">
        <v>18</v>
      </c>
      <c r="C9" s="21">
        <f>'Monthly Rollup'!D5</f>
        <v>0</v>
      </c>
      <c r="D9" s="21">
        <f>'Monthly Rollup'!E5</f>
        <v>0</v>
      </c>
      <c r="E9" s="21">
        <f>'Monthly Rollup'!F5</f>
        <v>0</v>
      </c>
      <c r="F9" s="21">
        <f>'Monthly Rollup'!G5</f>
        <v>0</v>
      </c>
      <c r="G9" s="21" t="str">
        <f>'Monthly Rollup'!H5</f>
        <v/>
      </c>
      <c r="H9" s="22" t="str">
        <f>'Monthly Rollup'!H5</f>
        <v/>
      </c>
      <c r="I9" s="23" t="str">
        <f>'Monthly Rollup'!J5</f>
        <v/>
      </c>
    </row>
    <row r="10" spans="1:13" ht="21.75" customHeight="1" x14ac:dyDescent="0.2">
      <c r="B10" s="24" t="s">
        <v>19</v>
      </c>
      <c r="C10" s="25">
        <f>'Monthly Rollup'!D6</f>
        <v>0</v>
      </c>
      <c r="D10" s="25">
        <f>'Monthly Rollup'!E6</f>
        <v>0</v>
      </c>
      <c r="E10" s="25">
        <f>'Monthly Rollup'!F6</f>
        <v>0</v>
      </c>
      <c r="F10" s="25">
        <f>'Monthly Rollup'!G6</f>
        <v>0</v>
      </c>
      <c r="G10" s="25" t="str">
        <f>'Monthly Rollup'!H6</f>
        <v/>
      </c>
      <c r="H10" s="26" t="str">
        <f>'Monthly Rollup'!H6</f>
        <v/>
      </c>
      <c r="I10" s="27" t="str">
        <f>'Monthly Rollup'!J6</f>
        <v/>
      </c>
    </row>
    <row r="11" spans="1:13" ht="21.75" customHeight="1" x14ac:dyDescent="0.2">
      <c r="B11" s="20" t="s">
        <v>20</v>
      </c>
      <c r="C11" s="21">
        <f>'Monthly Rollup'!D7</f>
        <v>0</v>
      </c>
      <c r="D11" s="21">
        <f>'Monthly Rollup'!E7</f>
        <v>0</v>
      </c>
      <c r="E11" s="21">
        <f>'Monthly Rollup'!F7</f>
        <v>0</v>
      </c>
      <c r="F11" s="21">
        <f>'Monthly Rollup'!G7</f>
        <v>0</v>
      </c>
      <c r="G11" s="21" t="str">
        <f>'Monthly Rollup'!H7</f>
        <v/>
      </c>
      <c r="H11" s="22" t="str">
        <f>'Monthly Rollup'!H7</f>
        <v/>
      </c>
      <c r="I11" s="23" t="str">
        <f>'Monthly Rollup'!J7</f>
        <v/>
      </c>
    </row>
    <row r="12" spans="1:13" ht="21.75" customHeight="1" x14ac:dyDescent="0.2">
      <c r="B12" s="24" t="s">
        <v>21</v>
      </c>
      <c r="C12" s="25">
        <f>'Monthly Rollup'!D9</f>
        <v>0</v>
      </c>
      <c r="D12" s="25">
        <f>'Monthly Rollup'!E9</f>
        <v>0</v>
      </c>
      <c r="E12" s="25">
        <f>'Monthly Rollup'!F9</f>
        <v>0</v>
      </c>
      <c r="F12" s="25">
        <f>'Monthly Rollup'!G9</f>
        <v>0</v>
      </c>
      <c r="G12" s="25" t="str">
        <f>'Monthly Rollup'!H9</f>
        <v/>
      </c>
      <c r="H12" s="26" t="str">
        <f>'Monthly Rollup'!H9</f>
        <v/>
      </c>
      <c r="I12" s="27" t="str">
        <f>'Monthly Rollup'!J9</f>
        <v/>
      </c>
    </row>
    <row r="13" spans="1:13" ht="21.75" customHeight="1" x14ac:dyDescent="0.2">
      <c r="B13" s="20" t="s">
        <v>22</v>
      </c>
      <c r="C13" s="21">
        <f>'Monthly Rollup'!D14</f>
        <v>0</v>
      </c>
      <c r="D13" s="21">
        <f>'Monthly Rollup'!E14</f>
        <v>0</v>
      </c>
      <c r="E13" s="21">
        <f>'Monthly Rollup'!F14</f>
        <v>0</v>
      </c>
      <c r="F13" s="21">
        <f>'Monthly Rollup'!G14</f>
        <v>0</v>
      </c>
      <c r="G13" s="21" t="str">
        <f>'Monthly Rollup'!H14</f>
        <v/>
      </c>
      <c r="H13" s="22" t="str">
        <f>'Monthly Rollup'!H14</f>
        <v/>
      </c>
      <c r="I13" s="23" t="str">
        <f>'Monthly Rollup'!J14</f>
        <v/>
      </c>
    </row>
    <row r="14" spans="1:13" ht="21.75" customHeight="1" x14ac:dyDescent="0.2">
      <c r="B14" s="24" t="s">
        <v>23</v>
      </c>
      <c r="C14" s="25">
        <f>'Monthly Rollup'!D15</f>
        <v>0</v>
      </c>
      <c r="D14" s="25">
        <f>'Monthly Rollup'!E15</f>
        <v>0</v>
      </c>
      <c r="E14" s="25">
        <f>'Monthly Rollup'!F15</f>
        <v>0</v>
      </c>
      <c r="F14" s="25">
        <f>'Monthly Rollup'!G15</f>
        <v>0</v>
      </c>
      <c r="G14" s="25" t="str">
        <f>'Monthly Rollup'!H15</f>
        <v/>
      </c>
      <c r="H14" s="26" t="str">
        <f>'Monthly Rollup'!H15</f>
        <v/>
      </c>
      <c r="I14" s="27" t="str">
        <f>'Monthly Rollup'!J15</f>
        <v/>
      </c>
    </row>
    <row r="15" spans="1:13" ht="21.75" customHeight="1" x14ac:dyDescent="0.2">
      <c r="B15" s="20" t="s">
        <v>24</v>
      </c>
      <c r="C15" s="21">
        <f>'Monthly Rollup'!D17</f>
        <v>0</v>
      </c>
      <c r="D15" s="21">
        <f>'Monthly Rollup'!E17</f>
        <v>0</v>
      </c>
      <c r="E15" s="21">
        <f>'Monthly Rollup'!F17</f>
        <v>0</v>
      </c>
      <c r="F15" s="21">
        <f>'Monthly Rollup'!G17</f>
        <v>0</v>
      </c>
      <c r="G15" s="21" t="str">
        <f>'Monthly Rollup'!H17</f>
        <v/>
      </c>
      <c r="H15" s="22" t="str">
        <f>'Monthly Rollup'!H17</f>
        <v/>
      </c>
      <c r="I15" s="23" t="str">
        <f>'Monthly Rollup'!J17</f>
        <v/>
      </c>
    </row>
    <row r="16" spans="1:13" ht="21.75" customHeight="1" x14ac:dyDescent="0.2">
      <c r="B16" s="24" t="s">
        <v>25</v>
      </c>
      <c r="C16" s="25">
        <f>'Monthly Rollup'!D18</f>
        <v>0</v>
      </c>
      <c r="D16" s="25">
        <f>'Monthly Rollup'!E18</f>
        <v>0</v>
      </c>
      <c r="E16" s="25">
        <f>'Monthly Rollup'!F18</f>
        <v>0</v>
      </c>
      <c r="F16" s="25">
        <f>'Monthly Rollup'!G18</f>
        <v>0</v>
      </c>
      <c r="G16" s="25" t="str">
        <f>'Monthly Rollup'!H18</f>
        <v/>
      </c>
      <c r="H16" s="26" t="str">
        <f>'Monthly Rollup'!H18</f>
        <v/>
      </c>
      <c r="I16" s="27" t="str">
        <f>'Monthly Rollup'!J18</f>
        <v/>
      </c>
    </row>
    <row r="17" spans="2:9" ht="21.75" customHeight="1" x14ac:dyDescent="0.2">
      <c r="B17" s="20" t="s">
        <v>26</v>
      </c>
      <c r="C17" s="21">
        <f>'Monthly Rollup'!D19</f>
        <v>0</v>
      </c>
      <c r="D17" s="21">
        <f>'Monthly Rollup'!E19</f>
        <v>0</v>
      </c>
      <c r="E17" s="21">
        <f>'Monthly Rollup'!F19</f>
        <v>0</v>
      </c>
      <c r="F17" s="21">
        <f>'Monthly Rollup'!G19</f>
        <v>0</v>
      </c>
      <c r="G17" s="21" t="str">
        <f>'Monthly Rollup'!H19</f>
        <v/>
      </c>
      <c r="H17" s="22" t="str">
        <f>'Monthly Rollup'!H19</f>
        <v/>
      </c>
      <c r="I17" s="23" t="str">
        <f>'Monthly Rollup'!J19</f>
        <v/>
      </c>
    </row>
    <row r="18" spans="2:9" ht="21.75" customHeight="1" x14ac:dyDescent="0.2">
      <c r="B18" s="24" t="s">
        <v>27</v>
      </c>
      <c r="C18" s="25">
        <f>'Monthly Rollup'!D20</f>
        <v>0</v>
      </c>
      <c r="D18" s="25">
        <f>'Monthly Rollup'!E20</f>
        <v>0</v>
      </c>
      <c r="E18" s="25">
        <f>'Monthly Rollup'!F20</f>
        <v>0</v>
      </c>
      <c r="F18" s="25">
        <f>'Monthly Rollup'!G20</f>
        <v>0</v>
      </c>
      <c r="G18" s="25" t="str">
        <f>'Monthly Rollup'!H20</f>
        <v/>
      </c>
      <c r="H18" s="26" t="str">
        <f>'Monthly Rollup'!H20</f>
        <v/>
      </c>
      <c r="I18" s="27" t="str">
        <f>'Monthly Rollup'!J20</f>
        <v/>
      </c>
    </row>
    <row r="19" spans="2:9" ht="21.75" customHeight="1" x14ac:dyDescent="0.2">
      <c r="B19" s="20" t="s">
        <v>28</v>
      </c>
      <c r="C19" s="21">
        <f>'Monthly Rollup'!D22</f>
        <v>0</v>
      </c>
      <c r="D19" s="21">
        <f>'Monthly Rollup'!E22</f>
        <v>0</v>
      </c>
      <c r="E19" s="21">
        <f>'Monthly Rollup'!F22</f>
        <v>0</v>
      </c>
      <c r="F19" s="21">
        <f>'Monthly Rollup'!G22</f>
        <v>0</v>
      </c>
      <c r="G19" s="21" t="str">
        <f>'Monthly Rollup'!H22</f>
        <v/>
      </c>
      <c r="H19" s="22" t="str">
        <f>'Monthly Rollup'!H22</f>
        <v/>
      </c>
      <c r="I19" s="23" t="str">
        <f>'Monthly Rollup'!J22</f>
        <v/>
      </c>
    </row>
    <row r="21" spans="2:9" ht="25.5" customHeight="1" x14ac:dyDescent="0.2">
      <c r="B21" s="96" t="s">
        <v>29</v>
      </c>
      <c r="C21" s="96"/>
      <c r="D21" s="96"/>
      <c r="E21" s="96"/>
      <c r="F21" s="96"/>
      <c r="G21" s="96"/>
      <c r="H21" s="96"/>
      <c r="I21" s="96"/>
    </row>
    <row r="22" spans="2:9" ht="21.75" customHeight="1" x14ac:dyDescent="0.2">
      <c r="B22" s="19" t="s">
        <v>30</v>
      </c>
      <c r="C22" s="19" t="s">
        <v>11</v>
      </c>
      <c r="D22" s="19" t="s">
        <v>12</v>
      </c>
      <c r="E22" s="19" t="s">
        <v>13</v>
      </c>
      <c r="F22" s="19" t="s">
        <v>14</v>
      </c>
      <c r="G22" s="19" t="s">
        <v>15</v>
      </c>
      <c r="H22" s="19" t="s">
        <v>31</v>
      </c>
    </row>
    <row r="23" spans="2:9" ht="21.75" customHeight="1" x14ac:dyDescent="0.2">
      <c r="B23" s="28" t="s">
        <v>32</v>
      </c>
      <c r="C23" s="29">
        <f>'Monthly Rollup'!D10</f>
        <v>0</v>
      </c>
      <c r="D23" s="29">
        <f>'Monthly Rollup'!E10</f>
        <v>0</v>
      </c>
      <c r="E23" s="29">
        <f>'Monthly Rollup'!F10</f>
        <v>0</v>
      </c>
      <c r="F23" s="29">
        <f>'Monthly Rollup'!G10</f>
        <v>0</v>
      </c>
      <c r="G23" s="29" t="str">
        <f>'Monthly Rollup'!H10</f>
        <v/>
      </c>
      <c r="H23" s="30" t="str">
        <f>'Monthly Rollup'!H10</f>
        <v/>
      </c>
    </row>
    <row r="24" spans="2:9" ht="21.75" customHeight="1" x14ac:dyDescent="0.2">
      <c r="B24" s="24" t="s">
        <v>33</v>
      </c>
      <c r="C24" s="31">
        <f>'Monthly Rollup'!D11</f>
        <v>0</v>
      </c>
      <c r="D24" s="31">
        <f>'Monthly Rollup'!E11</f>
        <v>0</v>
      </c>
      <c r="E24" s="31">
        <f>'Monthly Rollup'!F11</f>
        <v>0</v>
      </c>
      <c r="F24" s="31">
        <f>'Monthly Rollup'!G11</f>
        <v>0</v>
      </c>
      <c r="G24" s="31" t="str">
        <f>'Monthly Rollup'!H11</f>
        <v/>
      </c>
      <c r="H24" s="32" t="str">
        <f>'Monthly Rollup'!H11</f>
        <v/>
      </c>
    </row>
    <row r="25" spans="2:9" ht="21.75" customHeight="1" x14ac:dyDescent="0.2">
      <c r="B25" s="28" t="s">
        <v>34</v>
      </c>
      <c r="C25" s="29">
        <f>'Monthly Rollup'!D12</f>
        <v>0</v>
      </c>
      <c r="D25" s="29">
        <f>'Monthly Rollup'!E12</f>
        <v>0</v>
      </c>
      <c r="E25" s="29">
        <f>'Monthly Rollup'!F12</f>
        <v>0</v>
      </c>
      <c r="F25" s="29">
        <f>'Monthly Rollup'!G12</f>
        <v>0</v>
      </c>
      <c r="G25" s="29" t="str">
        <f>'Monthly Rollup'!H12</f>
        <v/>
      </c>
      <c r="H25" s="30" t="str">
        <f>'Monthly Rollup'!H12</f>
        <v/>
      </c>
    </row>
    <row r="26" spans="2:9" ht="21.75" customHeight="1" x14ac:dyDescent="0.2">
      <c r="B26" s="24" t="s">
        <v>35</v>
      </c>
      <c r="C26" s="31">
        <f>'Monthly Rollup'!D23</f>
        <v>0</v>
      </c>
      <c r="D26" s="31">
        <f>'Monthly Rollup'!E23</f>
        <v>0</v>
      </c>
      <c r="E26" s="31">
        <f>'Monthly Rollup'!F23</f>
        <v>0</v>
      </c>
      <c r="F26" s="31">
        <f>'Monthly Rollup'!G23</f>
        <v>0</v>
      </c>
      <c r="G26" s="31" t="str">
        <f>'Monthly Rollup'!H23</f>
        <v/>
      </c>
      <c r="H26" s="33" t="str">
        <f>'Monthly Rollup'!H23</f>
        <v/>
      </c>
    </row>
    <row r="28" spans="2:9" ht="36" customHeight="1" x14ac:dyDescent="0.2">
      <c r="B28" s="97" t="s">
        <v>36</v>
      </c>
      <c r="C28" s="97"/>
      <c r="D28" s="97"/>
      <c r="E28" s="97"/>
      <c r="F28" s="97"/>
      <c r="G28" s="97"/>
      <c r="H28" s="97"/>
      <c r="I28" s="97"/>
    </row>
  </sheetData>
  <mergeCells count="16">
    <mergeCell ref="B7:I7"/>
    <mergeCell ref="B21:I21"/>
    <mergeCell ref="B28:I28"/>
    <mergeCell ref="B4:D4"/>
    <mergeCell ref="E4:G4"/>
    <mergeCell ref="H4:J4"/>
    <mergeCell ref="K4:M4"/>
    <mergeCell ref="B5:D5"/>
    <mergeCell ref="E5:G5"/>
    <mergeCell ref="H5:J5"/>
    <mergeCell ref="K5:M5"/>
    <mergeCell ref="B1:M1"/>
    <mergeCell ref="B3:D3"/>
    <mergeCell ref="E3:G3"/>
    <mergeCell ref="H3:J3"/>
    <mergeCell ref="K3:M3"/>
  </mergeCells>
  <conditionalFormatting sqref="H9:H19">
    <cfRule type="colorScale" priority="2">
      <colorScale>
        <cfvo type="num" val="0"/>
        <cfvo type="num" val="60"/>
        <cfvo type="num" val="100"/>
        <color rgb="FFFCEBEB"/>
        <color rgb="FFFFF3CD"/>
        <color rgb="FFE1F5EE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D9E75"/>
  </sheetPr>
  <dimension ref="A1:J28"/>
  <sheetViews>
    <sheetView showGridLines="0" tabSelected="1" zoomScaleNormal="100" workbookViewId="0">
      <pane xSplit="2" ySplit="4" topLeftCell="C8" activePane="bottomRight" state="frozen"/>
      <selection pane="topRight" activeCell="C1" sqref="C1"/>
      <selection pane="bottomLeft" activeCell="A5" sqref="A5"/>
      <selection pane="bottomRight" activeCell="D3" sqref="D3"/>
    </sheetView>
  </sheetViews>
  <sheetFormatPr baseColWidth="10" defaultColWidth="8.6640625" defaultRowHeight="15" x14ac:dyDescent="0.2"/>
  <cols>
    <col min="1" max="1" width="2.5" customWidth="1"/>
    <col min="2" max="2" width="30" customWidth="1"/>
    <col min="3" max="9" width="13" customWidth="1"/>
    <col min="10" max="10" width="14" customWidth="1"/>
  </cols>
  <sheetData>
    <row r="1" spans="1:10" ht="39.75" customHeight="1" x14ac:dyDescent="0.2">
      <c r="A1" s="16"/>
      <c r="B1" s="98" t="s">
        <v>37</v>
      </c>
      <c r="C1" s="98"/>
      <c r="D1" s="98"/>
      <c r="E1" s="98"/>
      <c r="F1" s="98"/>
      <c r="G1" s="98"/>
      <c r="H1" s="98"/>
      <c r="I1" s="98"/>
      <c r="J1" s="98"/>
    </row>
    <row r="2" spans="1:10" ht="21.75" customHeight="1" x14ac:dyDescent="0.2">
      <c r="B2" s="99" t="s">
        <v>38</v>
      </c>
      <c r="C2" s="99"/>
      <c r="D2" s="34">
        <v>46167</v>
      </c>
    </row>
    <row r="3" spans="1:10" ht="19.5" customHeight="1" x14ac:dyDescent="0.2">
      <c r="B3" s="35"/>
      <c r="C3" s="36" t="s">
        <v>39</v>
      </c>
      <c r="D3" s="36" t="s">
        <v>40</v>
      </c>
      <c r="E3" s="36" t="s">
        <v>41</v>
      </c>
      <c r="F3" s="36" t="s">
        <v>42</v>
      </c>
      <c r="G3" s="36" t="s">
        <v>43</v>
      </c>
      <c r="H3" s="36" t="s">
        <v>44</v>
      </c>
      <c r="I3" s="36" t="s">
        <v>45</v>
      </c>
      <c r="J3" s="36" t="s">
        <v>46</v>
      </c>
    </row>
    <row r="4" spans="1:10" ht="21.75" customHeight="1" x14ac:dyDescent="0.2">
      <c r="B4" s="37" t="s">
        <v>47</v>
      </c>
      <c r="C4" s="38">
        <f>$D$2+0</f>
        <v>46167</v>
      </c>
      <c r="D4" s="38">
        <f>$D$2+1</f>
        <v>46168</v>
      </c>
      <c r="E4" s="38">
        <f>$D$2+2</f>
        <v>46169</v>
      </c>
      <c r="F4" s="38">
        <f>$D$2+3</f>
        <v>46170</v>
      </c>
      <c r="G4" s="38">
        <f>$D$2+4</f>
        <v>46171</v>
      </c>
      <c r="H4" s="38">
        <f>$D$2+5</f>
        <v>46172</v>
      </c>
      <c r="I4" s="38">
        <f>$D$2+6</f>
        <v>46173</v>
      </c>
      <c r="J4" s="39"/>
    </row>
    <row r="5" spans="1:10" ht="18" customHeight="1" x14ac:dyDescent="0.2">
      <c r="B5" s="100" t="s">
        <v>48</v>
      </c>
      <c r="C5" s="100"/>
      <c r="D5" s="100"/>
      <c r="E5" s="100"/>
      <c r="F5" s="100"/>
      <c r="G5" s="100"/>
      <c r="H5" s="100"/>
      <c r="I5" s="100"/>
      <c r="J5" s="100"/>
    </row>
    <row r="6" spans="1:10" ht="25.5" customHeight="1" x14ac:dyDescent="0.2">
      <c r="B6" s="40" t="s">
        <v>49</v>
      </c>
      <c r="C6" s="41"/>
      <c r="D6" s="41"/>
      <c r="E6" s="41"/>
      <c r="F6" s="41"/>
      <c r="G6" s="41"/>
      <c r="H6" s="41"/>
      <c r="I6" s="41"/>
      <c r="J6" s="42" t="s">
        <v>50</v>
      </c>
    </row>
    <row r="7" spans="1:10" ht="25.5" customHeight="1" x14ac:dyDescent="0.2">
      <c r="B7" s="43" t="s">
        <v>19</v>
      </c>
      <c r="C7" s="44"/>
      <c r="D7" s="44"/>
      <c r="E7" s="44"/>
      <c r="F7" s="44"/>
      <c r="G7" s="44"/>
      <c r="H7" s="44"/>
      <c r="I7" s="44"/>
      <c r="J7" s="45" t="s">
        <v>51</v>
      </c>
    </row>
    <row r="8" spans="1:10" ht="25.5" customHeight="1" x14ac:dyDescent="0.2">
      <c r="B8" s="40" t="s">
        <v>20</v>
      </c>
      <c r="C8" s="41"/>
      <c r="D8" s="41"/>
      <c r="E8" s="41"/>
      <c r="F8" s="41"/>
      <c r="G8" s="41"/>
      <c r="H8" s="41"/>
      <c r="I8" s="41"/>
      <c r="J8" s="42" t="s">
        <v>51</v>
      </c>
    </row>
    <row r="9" spans="1:10" ht="18" customHeight="1" x14ac:dyDescent="0.2">
      <c r="B9" s="100" t="s">
        <v>52</v>
      </c>
      <c r="C9" s="100"/>
      <c r="D9" s="100"/>
      <c r="E9" s="100"/>
      <c r="F9" s="100"/>
      <c r="G9" s="100"/>
      <c r="H9" s="100"/>
      <c r="I9" s="100"/>
      <c r="J9" s="100"/>
    </row>
    <row r="10" spans="1:10" ht="25.5" customHeight="1" x14ac:dyDescent="0.2">
      <c r="B10" s="46" t="s">
        <v>21</v>
      </c>
      <c r="C10" s="47"/>
      <c r="D10" s="47"/>
      <c r="E10" s="47"/>
      <c r="F10" s="47"/>
      <c r="G10" s="47"/>
      <c r="H10" s="47"/>
      <c r="I10" s="47"/>
      <c r="J10" s="48" t="s">
        <v>51</v>
      </c>
    </row>
    <row r="11" spans="1:10" ht="25.5" customHeight="1" x14ac:dyDescent="0.2">
      <c r="B11" s="43" t="s">
        <v>53</v>
      </c>
      <c r="C11" s="49"/>
      <c r="D11" s="49"/>
      <c r="E11" s="49"/>
      <c r="F11" s="49"/>
      <c r="G11" s="49"/>
      <c r="H11" s="49"/>
      <c r="I11" s="49"/>
      <c r="J11" s="45" t="s">
        <v>54</v>
      </c>
    </row>
    <row r="12" spans="1:10" ht="25.5" customHeight="1" x14ac:dyDescent="0.2">
      <c r="B12" s="46" t="s">
        <v>55</v>
      </c>
      <c r="C12" s="50"/>
      <c r="D12" s="50"/>
      <c r="E12" s="50"/>
      <c r="F12" s="50"/>
      <c r="G12" s="50"/>
      <c r="H12" s="50"/>
      <c r="I12" s="50"/>
      <c r="J12" s="48" t="s">
        <v>54</v>
      </c>
    </row>
    <row r="13" spans="1:10" ht="25.5" customHeight="1" x14ac:dyDescent="0.2">
      <c r="B13" s="43" t="s">
        <v>56</v>
      </c>
      <c r="C13" s="49"/>
      <c r="D13" s="49"/>
      <c r="E13" s="49"/>
      <c r="F13" s="49"/>
      <c r="G13" s="49"/>
      <c r="H13" s="49"/>
      <c r="I13" s="49"/>
      <c r="J13" s="45" t="s">
        <v>54</v>
      </c>
    </row>
    <row r="14" spans="1:10" ht="18" customHeight="1" x14ac:dyDescent="0.2">
      <c r="B14" s="100" t="s">
        <v>57</v>
      </c>
      <c r="C14" s="100"/>
      <c r="D14" s="100"/>
      <c r="E14" s="100"/>
      <c r="F14" s="100"/>
      <c r="G14" s="100"/>
      <c r="H14" s="100"/>
      <c r="I14" s="100"/>
      <c r="J14" s="100"/>
    </row>
    <row r="15" spans="1:10" ht="25.5" customHeight="1" x14ac:dyDescent="0.2">
      <c r="B15" s="43" t="s">
        <v>22</v>
      </c>
      <c r="C15" s="44"/>
      <c r="D15" s="44"/>
      <c r="E15" s="44"/>
      <c r="F15" s="44"/>
      <c r="G15" s="44"/>
      <c r="H15" s="44"/>
      <c r="I15" s="44"/>
      <c r="J15" s="45" t="s">
        <v>51</v>
      </c>
    </row>
    <row r="16" spans="1:10" ht="25.5" customHeight="1" x14ac:dyDescent="0.2">
      <c r="B16" s="51" t="s">
        <v>23</v>
      </c>
      <c r="C16" s="52"/>
      <c r="D16" s="52"/>
      <c r="E16" s="52"/>
      <c r="F16" s="52"/>
      <c r="G16" s="52"/>
      <c r="H16" s="52"/>
      <c r="I16" s="52"/>
      <c r="J16" s="53" t="s">
        <v>51</v>
      </c>
    </row>
    <row r="17" spans="2:10" ht="18" customHeight="1" x14ac:dyDescent="0.2">
      <c r="B17" s="100" t="s">
        <v>58</v>
      </c>
      <c r="C17" s="100"/>
      <c r="D17" s="100"/>
      <c r="E17" s="100"/>
      <c r="F17" s="100"/>
      <c r="G17" s="100"/>
      <c r="H17" s="100"/>
      <c r="I17" s="100"/>
      <c r="J17" s="100"/>
    </row>
    <row r="18" spans="2:10" ht="25.5" customHeight="1" x14ac:dyDescent="0.2">
      <c r="B18" s="54" t="s">
        <v>24</v>
      </c>
      <c r="C18" s="55"/>
      <c r="D18" s="55"/>
      <c r="E18" s="55"/>
      <c r="F18" s="55"/>
      <c r="G18" s="55"/>
      <c r="H18" s="55"/>
      <c r="I18" s="55"/>
      <c r="J18" s="56" t="s">
        <v>51</v>
      </c>
    </row>
    <row r="19" spans="2:10" ht="25.5" customHeight="1" x14ac:dyDescent="0.2">
      <c r="B19" s="43" t="s">
        <v>25</v>
      </c>
      <c r="C19" s="44"/>
      <c r="D19" s="44"/>
      <c r="E19" s="44"/>
      <c r="F19" s="44"/>
      <c r="G19" s="44"/>
      <c r="H19" s="44"/>
      <c r="I19" s="44"/>
      <c r="J19" s="45" t="s">
        <v>51</v>
      </c>
    </row>
    <row r="20" spans="2:10" ht="25.5" customHeight="1" x14ac:dyDescent="0.2">
      <c r="B20" s="54" t="s">
        <v>26</v>
      </c>
      <c r="C20" s="55"/>
      <c r="D20" s="55"/>
      <c r="E20" s="55"/>
      <c r="F20" s="55"/>
      <c r="G20" s="55"/>
      <c r="H20" s="55"/>
      <c r="I20" s="55"/>
      <c r="J20" s="56" t="s">
        <v>51</v>
      </c>
    </row>
    <row r="21" spans="2:10" ht="25.5" customHeight="1" x14ac:dyDescent="0.2">
      <c r="B21" s="43" t="s">
        <v>27</v>
      </c>
      <c r="C21" s="44"/>
      <c r="D21" s="44"/>
      <c r="E21" s="44"/>
      <c r="F21" s="44"/>
      <c r="G21" s="44"/>
      <c r="H21" s="44"/>
      <c r="I21" s="44"/>
      <c r="J21" s="45" t="s">
        <v>51</v>
      </c>
    </row>
    <row r="22" spans="2:10" ht="18" customHeight="1" x14ac:dyDescent="0.2">
      <c r="B22" s="100" t="s">
        <v>59</v>
      </c>
      <c r="C22" s="100"/>
      <c r="D22" s="100"/>
      <c r="E22" s="100"/>
      <c r="F22" s="100"/>
      <c r="G22" s="100"/>
      <c r="H22" s="100"/>
      <c r="I22" s="100"/>
      <c r="J22" s="100"/>
    </row>
    <row r="23" spans="2:10" ht="25.5" customHeight="1" x14ac:dyDescent="0.2">
      <c r="B23" s="43" t="s">
        <v>60</v>
      </c>
      <c r="C23" s="44"/>
      <c r="D23" s="44"/>
      <c r="E23" s="44"/>
      <c r="F23" s="44"/>
      <c r="G23" s="44"/>
      <c r="H23" s="44"/>
      <c r="I23" s="44"/>
      <c r="J23" s="45" t="s">
        <v>61</v>
      </c>
    </row>
    <row r="24" spans="2:10" ht="27.75" customHeight="1" x14ac:dyDescent="0.2">
      <c r="B24" s="57" t="s">
        <v>62</v>
      </c>
      <c r="C24" s="58">
        <f t="shared" ref="C24:I24" si="0">IFERROR(ROUND((IF(OR(UPPER(C7)="Y"),1,0)+IF(OR(UPPER(C8)="Y"),1,0)+IF(OR(UPPER(C10)="Y"),1,0)+IF(OR(UPPER(C15)="Y"),1,0)+IF(OR(UPPER(C16)="Y"),1,0)+IF(OR(UPPER(C18)="Y"),1,0)+IF(OR(UPPER(C19)="Y"),1,0)+IF(OR(UPPER(C20)="Y"),1,0)+IF(OR(UPPER(C21)="Y"),1,0))/9*100,0),0)</f>
        <v>0</v>
      </c>
      <c r="D24" s="58">
        <f t="shared" si="0"/>
        <v>0</v>
      </c>
      <c r="E24" s="58">
        <f t="shared" si="0"/>
        <v>0</v>
      </c>
      <c r="F24" s="58">
        <f t="shared" si="0"/>
        <v>0</v>
      </c>
      <c r="G24" s="58">
        <f t="shared" si="0"/>
        <v>0</v>
      </c>
      <c r="H24" s="58">
        <f t="shared" si="0"/>
        <v>0</v>
      </c>
      <c r="I24" s="58">
        <f t="shared" si="0"/>
        <v>0</v>
      </c>
      <c r="J24" s="59" t="s">
        <v>63</v>
      </c>
    </row>
    <row r="25" spans="2:10" ht="21.75" customHeight="1" x14ac:dyDescent="0.2">
      <c r="B25" s="60" t="s">
        <v>64</v>
      </c>
      <c r="C25" s="61" t="str">
        <f t="shared" ref="C25:I25" si="1">IFERROR(IF(LEN(C23)=0,"—",IF((HOUR(TIMEVALUE(C23))+IF(HOUR(TIMEVALUE(C23))&lt;6,24,0))*60+MINUTE(TIMEVALUE(C23))&lt;=22*60+30,"✓ On time","✗ Late")),"—")</f>
        <v>—</v>
      </c>
      <c r="D25" s="61" t="str">
        <f t="shared" si="1"/>
        <v>—</v>
      </c>
      <c r="E25" s="61" t="str">
        <f t="shared" si="1"/>
        <v>—</v>
      </c>
      <c r="F25" s="61" t="str">
        <f t="shared" si="1"/>
        <v>—</v>
      </c>
      <c r="G25" s="61" t="str">
        <f t="shared" si="1"/>
        <v>—</v>
      </c>
      <c r="H25" s="61" t="str">
        <f t="shared" si="1"/>
        <v>—</v>
      </c>
      <c r="I25" s="61" t="str">
        <f t="shared" si="1"/>
        <v>—</v>
      </c>
      <c r="J25" s="62" t="s">
        <v>65</v>
      </c>
    </row>
    <row r="26" spans="2:10" ht="21.75" customHeight="1" x14ac:dyDescent="0.2">
      <c r="B26" s="60" t="s">
        <v>66</v>
      </c>
      <c r="C26" s="63" t="str">
        <f t="shared" ref="C26:I26" si="2">IFERROR(IF(LEN(C23)=0,"",MAX(0,(HOUR(TIMEVALUE(C23))+IF(HOUR(TIMEVALUE(C23))&lt;6,24,0))*60+MINUTE(TIMEVALUE(C23))-(22*60+30))),"")</f>
        <v/>
      </c>
      <c r="D26" s="63" t="str">
        <f t="shared" si="2"/>
        <v/>
      </c>
      <c r="E26" s="63" t="str">
        <f t="shared" si="2"/>
        <v/>
      </c>
      <c r="F26" s="63" t="str">
        <f t="shared" si="2"/>
        <v/>
      </c>
      <c r="G26" s="63" t="str">
        <f t="shared" si="2"/>
        <v/>
      </c>
      <c r="H26" s="63" t="str">
        <f t="shared" si="2"/>
        <v/>
      </c>
      <c r="I26" s="63" t="str">
        <f t="shared" si="2"/>
        <v/>
      </c>
      <c r="J26" s="64" t="s">
        <v>67</v>
      </c>
    </row>
    <row r="28" spans="2:10" ht="31.5" customHeight="1" x14ac:dyDescent="0.2">
      <c r="B28" s="97" t="s">
        <v>68</v>
      </c>
      <c r="C28" s="97"/>
      <c r="D28" s="97"/>
      <c r="E28" s="97"/>
      <c r="F28" s="97"/>
      <c r="G28" s="97"/>
      <c r="H28" s="97"/>
      <c r="I28" s="97"/>
      <c r="J28" s="97"/>
    </row>
  </sheetData>
  <mergeCells count="8">
    <mergeCell ref="B17:J17"/>
    <mergeCell ref="B22:J22"/>
    <mergeCell ref="B28:J28"/>
    <mergeCell ref="B1:J1"/>
    <mergeCell ref="B2:C2"/>
    <mergeCell ref="B5:J5"/>
    <mergeCell ref="B9:J9"/>
    <mergeCell ref="B14:J14"/>
  </mergeCells>
  <conditionalFormatting sqref="C7:I8">
    <cfRule type="cellIs" dxfId="21" priority="3" operator="equal">
      <formula>"y"</formula>
    </cfRule>
    <cfRule type="cellIs" dxfId="20" priority="4" operator="equal">
      <formula>"N"</formula>
    </cfRule>
    <cfRule type="cellIs" dxfId="19" priority="5" operator="equal">
      <formula>"n"</formula>
    </cfRule>
    <cfRule type="cellIs" dxfId="18" priority="2" operator="equal">
      <formula>"Y"</formula>
    </cfRule>
  </conditionalFormatting>
  <conditionalFormatting sqref="C10:I10">
    <cfRule type="cellIs" dxfId="17" priority="10" operator="equal">
      <formula>"Y"</formula>
    </cfRule>
    <cfRule type="cellIs" dxfId="16" priority="11" operator="equal">
      <formula>"y"</formula>
    </cfRule>
    <cfRule type="cellIs" dxfId="15" priority="12" operator="equal">
      <formula>"N"</formula>
    </cfRule>
    <cfRule type="cellIs" dxfId="14" priority="13" operator="equal">
      <formula>"n"</formula>
    </cfRule>
  </conditionalFormatting>
  <conditionalFormatting sqref="C11:I11">
    <cfRule type="dataBar" priority="38">
      <dataBar>
        <cfvo type="num" val="0"/>
        <cfvo type="num" val="100"/>
        <color rgb="FF1D9E75"/>
      </dataBar>
      <extLst>
        <ext xmlns:x14="http://schemas.microsoft.com/office/spreadsheetml/2009/9/main" uri="{B025F937-C7B1-47D3-B67F-A62EFF666E3E}">
          <x14:id>{CD90D080-CAD2-4FF7-8021-AA43693C981B}</x14:id>
        </ext>
      </extLst>
    </cfRule>
  </conditionalFormatting>
  <conditionalFormatting sqref="C12:I12">
    <cfRule type="dataBar" priority="39">
      <dataBar>
        <cfvo type="num" val="0"/>
        <cfvo type="num" val="100"/>
        <color rgb="FF1D9E75"/>
      </dataBar>
      <extLst>
        <ext xmlns:x14="http://schemas.microsoft.com/office/spreadsheetml/2009/9/main" uri="{B025F937-C7B1-47D3-B67F-A62EFF666E3E}">
          <x14:id>{EDA5F424-40F4-4E10-8F48-F516AA5A5023}</x14:id>
        </ext>
      </extLst>
    </cfRule>
  </conditionalFormatting>
  <conditionalFormatting sqref="C13:I13">
    <cfRule type="dataBar" priority="40">
      <dataBar>
        <cfvo type="num" val="0"/>
        <cfvo type="num" val="100"/>
        <color rgb="FF1D9E75"/>
      </dataBar>
      <extLst>
        <ext xmlns:x14="http://schemas.microsoft.com/office/spreadsheetml/2009/9/main" uri="{B025F937-C7B1-47D3-B67F-A62EFF666E3E}">
          <x14:id>{13E430A9-32B9-4655-A72F-6933CFA112EA}</x14:id>
        </ext>
      </extLst>
    </cfRule>
  </conditionalFormatting>
  <conditionalFormatting sqref="C15:I16">
    <cfRule type="cellIs" dxfId="13" priority="17" operator="equal">
      <formula>"n"</formula>
    </cfRule>
    <cfRule type="cellIs" dxfId="12" priority="14" operator="equal">
      <formula>"Y"</formula>
    </cfRule>
    <cfRule type="cellIs" dxfId="11" priority="15" operator="equal">
      <formula>"y"</formula>
    </cfRule>
    <cfRule type="cellIs" dxfId="10" priority="16" operator="equal">
      <formula>"N"</formula>
    </cfRule>
  </conditionalFormatting>
  <conditionalFormatting sqref="C18:I21">
    <cfRule type="cellIs" dxfId="9" priority="23" operator="equal">
      <formula>"y"</formula>
    </cfRule>
    <cfRule type="cellIs" dxfId="8" priority="24" operator="equal">
      <formula>"N"</formula>
    </cfRule>
    <cfRule type="cellIs" dxfId="7" priority="22" operator="equal">
      <formula>"Y"</formula>
    </cfRule>
    <cfRule type="cellIs" dxfId="6" priority="25" operator="equal">
      <formula>"n"</formula>
    </cfRule>
  </conditionalFormatting>
  <conditionalFormatting sqref="C24:I24">
    <cfRule type="cellIs" dxfId="5" priority="42" operator="equal">
      <formula>"✗ Late"</formula>
    </cfRule>
    <cfRule type="cellIs" dxfId="4" priority="41" operator="equal">
      <formula>"✓ On time"</formula>
    </cfRule>
  </conditionalFormatting>
  <conditionalFormatting sqref="C25:I25">
    <cfRule type="colorScale" priority="43">
      <colorScale>
        <cfvo type="num" val="0"/>
        <cfvo type="num" val="120"/>
        <color rgb="FFFFFFFF"/>
        <color rgb="FFE24B4A"/>
      </colorScale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D90D080-CAD2-4FF7-8021-AA43693C981B}">
            <x14:dataBar axisPosition="none">
              <x14:cfvo type="num">
                <xm:f>0</xm:f>
              </x14:cfvo>
              <x14:cfvo type="num">
                <xm:f>100</xm:f>
              </x14:cfvo>
              <x14:negativeFillColor rgb="FF1D9E75"/>
            </x14:dataBar>
          </x14:cfRule>
          <xm:sqref>C11:I11</xm:sqref>
        </x14:conditionalFormatting>
        <x14:conditionalFormatting xmlns:xm="http://schemas.microsoft.com/office/excel/2006/main">
          <x14:cfRule type="dataBar" id="{EDA5F424-40F4-4E10-8F48-F516AA5A5023}">
            <x14:dataBar axisPosition="none">
              <x14:cfvo type="num">
                <xm:f>0</xm:f>
              </x14:cfvo>
              <x14:cfvo type="num">
                <xm:f>100</xm:f>
              </x14:cfvo>
              <x14:negativeFillColor rgb="FF1D9E75"/>
            </x14:dataBar>
          </x14:cfRule>
          <xm:sqref>C12:I12</xm:sqref>
        </x14:conditionalFormatting>
        <x14:conditionalFormatting xmlns:xm="http://schemas.microsoft.com/office/excel/2006/main">
          <x14:cfRule type="dataBar" id="{13E430A9-32B9-4655-A72F-6933CFA112EA}">
            <x14:dataBar axisPosition="none">
              <x14:cfvo type="num">
                <xm:f>0</xm:f>
              </x14:cfvo>
              <x14:cfvo type="num">
                <xm:f>100</xm:f>
              </x14:cfvo>
              <x14:negativeFillColor rgb="FF1D9E75"/>
            </x14:dataBar>
          </x14:cfRule>
          <xm:sqref>C13:I13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A2E44"/>
  </sheetPr>
  <dimension ref="A1:H44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4" sqref="C4"/>
    </sheetView>
  </sheetViews>
  <sheetFormatPr baseColWidth="10" defaultColWidth="8.6640625" defaultRowHeight="15" x14ac:dyDescent="0.2"/>
  <cols>
    <col min="1" max="1" width="2.5" customWidth="1"/>
    <col min="2" max="3" width="14" customWidth="1"/>
    <col min="4" max="7" width="16" customWidth="1"/>
    <col min="8" max="8" width="20" customWidth="1"/>
  </cols>
  <sheetData>
    <row r="1" spans="1:8" ht="39.75" customHeight="1" x14ac:dyDescent="0.2">
      <c r="A1" s="17"/>
      <c r="B1" s="101" t="s">
        <v>69</v>
      </c>
      <c r="C1" s="101"/>
      <c r="D1" s="101"/>
      <c r="E1" s="101"/>
      <c r="F1" s="101"/>
      <c r="G1" s="101"/>
      <c r="H1" s="101"/>
    </row>
    <row r="2" spans="1:8" ht="18" customHeight="1" x14ac:dyDescent="0.2">
      <c r="B2" s="102" t="s">
        <v>70</v>
      </c>
      <c r="C2" s="102"/>
      <c r="D2" s="102"/>
      <c r="E2" s="102"/>
      <c r="F2" s="102"/>
      <c r="G2" s="102"/>
      <c r="H2" s="102"/>
    </row>
    <row r="3" spans="1:8" ht="25.5" customHeight="1" x14ac:dyDescent="0.2">
      <c r="B3" s="19" t="s">
        <v>47</v>
      </c>
      <c r="C3" s="19" t="s">
        <v>71</v>
      </c>
      <c r="D3" s="19" t="s">
        <v>72</v>
      </c>
      <c r="E3" s="19" t="s">
        <v>73</v>
      </c>
      <c r="F3" s="19" t="s">
        <v>74</v>
      </c>
      <c r="G3" s="19" t="s">
        <v>75</v>
      </c>
      <c r="H3" s="19" t="s">
        <v>46</v>
      </c>
    </row>
    <row r="4" spans="1:8" ht="21.75" customHeight="1" x14ac:dyDescent="0.2">
      <c r="B4" s="65">
        <v>46160</v>
      </c>
      <c r="C4" s="66"/>
      <c r="D4" s="67" t="str">
        <f t="shared" ref="D4:D38" si="0">IFERROR(IF(LEN(C4)=0,"—",IF((HOUR(TIMEVALUE(C4))+IF(HOUR(TIMEVALUE(C4))&lt;6,24,0))*60+MINUTE(TIMEVALUE(C4))&lt;=22*60+30,"✓ On time","✗ Late")),"—")</f>
        <v>—</v>
      </c>
      <c r="E4" s="68" t="str">
        <f t="shared" ref="E4:E38" si="1">IFERROR(IF(LEN(C4)=0,"",MAX(0,(HOUR(TIMEVALUE(C4))+IF(HOUR(TIMEVALUE(C4))&lt;6,24,0))*60+MINUTE(TIMEVALUE(C4))-(22*60+30))),"—")</f>
        <v/>
      </c>
      <c r="F4" s="69"/>
      <c r="G4" s="70" t="str">
        <f t="shared" ref="G4:G38" si="2">IFERROR(IF(OR(LEN(C4)=0,LEN(F4)=0),"—",((HOUR(TIMEVALUE(F4))+IF(HOUR(TIMEVALUE(F4))&lt;6,24,0))*60+MINUTE(TIMEVALUE(F4))-(HOUR(TIMEVALUE(C4))+IF(HOUR(TIMEVALUE(C4))&lt;6,24,0))*60-MINUTE(TIMEVALUE(C4)))/60),"—")</f>
        <v>—</v>
      </c>
      <c r="H4" s="71"/>
    </row>
    <row r="5" spans="1:8" ht="21.75" customHeight="1" x14ac:dyDescent="0.2">
      <c r="B5" s="72">
        <v>46161</v>
      </c>
      <c r="C5" s="73"/>
      <c r="D5" s="74" t="str">
        <f t="shared" si="0"/>
        <v>—</v>
      </c>
      <c r="E5" s="75" t="str">
        <f t="shared" si="1"/>
        <v/>
      </c>
      <c r="F5" s="76"/>
      <c r="G5" s="77" t="str">
        <f t="shared" si="2"/>
        <v>—</v>
      </c>
      <c r="H5" s="45"/>
    </row>
    <row r="6" spans="1:8" ht="21.75" customHeight="1" x14ac:dyDescent="0.2">
      <c r="B6" s="65">
        <v>46162</v>
      </c>
      <c r="C6" s="66"/>
      <c r="D6" s="67" t="str">
        <f t="shared" si="0"/>
        <v>—</v>
      </c>
      <c r="E6" s="68" t="str">
        <f t="shared" si="1"/>
        <v/>
      </c>
      <c r="F6" s="69"/>
      <c r="G6" s="70" t="str">
        <f t="shared" si="2"/>
        <v>—</v>
      </c>
      <c r="H6" s="71"/>
    </row>
    <row r="7" spans="1:8" ht="21.75" customHeight="1" x14ac:dyDescent="0.2">
      <c r="B7" s="72">
        <v>46163</v>
      </c>
      <c r="C7" s="73"/>
      <c r="D7" s="74" t="str">
        <f t="shared" si="0"/>
        <v>—</v>
      </c>
      <c r="E7" s="75" t="str">
        <f t="shared" si="1"/>
        <v/>
      </c>
      <c r="F7" s="76"/>
      <c r="G7" s="77" t="str">
        <f t="shared" si="2"/>
        <v>—</v>
      </c>
      <c r="H7" s="45"/>
    </row>
    <row r="8" spans="1:8" ht="21.75" customHeight="1" x14ac:dyDescent="0.2">
      <c r="B8" s="65">
        <v>46164</v>
      </c>
      <c r="C8" s="66"/>
      <c r="D8" s="67" t="str">
        <f t="shared" si="0"/>
        <v>—</v>
      </c>
      <c r="E8" s="68" t="str">
        <f t="shared" si="1"/>
        <v/>
      </c>
      <c r="F8" s="69"/>
      <c r="G8" s="70" t="str">
        <f t="shared" si="2"/>
        <v>—</v>
      </c>
      <c r="H8" s="71"/>
    </row>
    <row r="9" spans="1:8" ht="21.75" customHeight="1" x14ac:dyDescent="0.2">
      <c r="B9" s="72">
        <v>46165</v>
      </c>
      <c r="C9" s="73"/>
      <c r="D9" s="74" t="str">
        <f t="shared" si="0"/>
        <v>—</v>
      </c>
      <c r="E9" s="75" t="str">
        <f t="shared" si="1"/>
        <v/>
      </c>
      <c r="F9" s="76"/>
      <c r="G9" s="77" t="str">
        <f t="shared" si="2"/>
        <v>—</v>
      </c>
      <c r="H9" s="45"/>
    </row>
    <row r="10" spans="1:8" ht="21.75" customHeight="1" x14ac:dyDescent="0.2">
      <c r="B10" s="78">
        <v>46166</v>
      </c>
      <c r="C10" s="66"/>
      <c r="D10" s="67" t="str">
        <f t="shared" si="0"/>
        <v>—</v>
      </c>
      <c r="E10" s="68" t="str">
        <f t="shared" si="1"/>
        <v/>
      </c>
      <c r="F10" s="69"/>
      <c r="G10" s="70" t="str">
        <f t="shared" si="2"/>
        <v>—</v>
      </c>
      <c r="H10" s="71"/>
    </row>
    <row r="11" spans="1:8" ht="21.75" customHeight="1" x14ac:dyDescent="0.2">
      <c r="B11" s="72">
        <v>46167</v>
      </c>
      <c r="C11" s="73"/>
      <c r="D11" s="74" t="str">
        <f t="shared" si="0"/>
        <v>—</v>
      </c>
      <c r="E11" s="75" t="str">
        <f t="shared" si="1"/>
        <v/>
      </c>
      <c r="F11" s="76"/>
      <c r="G11" s="77" t="str">
        <f t="shared" si="2"/>
        <v>—</v>
      </c>
      <c r="H11" s="45"/>
    </row>
    <row r="12" spans="1:8" ht="21.75" customHeight="1" x14ac:dyDescent="0.2">
      <c r="B12" s="65">
        <v>46168</v>
      </c>
      <c r="C12" s="66"/>
      <c r="D12" s="67" t="str">
        <f t="shared" si="0"/>
        <v>—</v>
      </c>
      <c r="E12" s="68" t="str">
        <f t="shared" si="1"/>
        <v/>
      </c>
      <c r="F12" s="69"/>
      <c r="G12" s="70" t="str">
        <f t="shared" si="2"/>
        <v>—</v>
      </c>
      <c r="H12" s="71"/>
    </row>
    <row r="13" spans="1:8" ht="21.75" customHeight="1" x14ac:dyDescent="0.2">
      <c r="B13" s="72">
        <v>46169</v>
      </c>
      <c r="C13" s="73"/>
      <c r="D13" s="74" t="str">
        <f t="shared" si="0"/>
        <v>—</v>
      </c>
      <c r="E13" s="75" t="str">
        <f t="shared" si="1"/>
        <v/>
      </c>
      <c r="F13" s="76"/>
      <c r="G13" s="77" t="str">
        <f t="shared" si="2"/>
        <v>—</v>
      </c>
      <c r="H13" s="45"/>
    </row>
    <row r="14" spans="1:8" ht="21.75" customHeight="1" x14ac:dyDescent="0.2">
      <c r="B14" s="65">
        <v>46170</v>
      </c>
      <c r="C14" s="66"/>
      <c r="D14" s="67" t="str">
        <f t="shared" si="0"/>
        <v>—</v>
      </c>
      <c r="E14" s="68" t="str">
        <f t="shared" si="1"/>
        <v/>
      </c>
      <c r="F14" s="69"/>
      <c r="G14" s="70" t="str">
        <f t="shared" si="2"/>
        <v>—</v>
      </c>
      <c r="H14" s="71"/>
    </row>
    <row r="15" spans="1:8" ht="21.75" customHeight="1" x14ac:dyDescent="0.2">
      <c r="B15" s="72">
        <v>46171</v>
      </c>
      <c r="C15" s="73"/>
      <c r="D15" s="74" t="str">
        <f t="shared" si="0"/>
        <v>—</v>
      </c>
      <c r="E15" s="75" t="str">
        <f t="shared" si="1"/>
        <v/>
      </c>
      <c r="F15" s="76"/>
      <c r="G15" s="77" t="str">
        <f t="shared" si="2"/>
        <v>—</v>
      </c>
      <c r="H15" s="45"/>
    </row>
    <row r="16" spans="1:8" ht="21.75" customHeight="1" x14ac:dyDescent="0.2">
      <c r="B16" s="65">
        <v>46172</v>
      </c>
      <c r="C16" s="66"/>
      <c r="D16" s="67" t="str">
        <f t="shared" si="0"/>
        <v>—</v>
      </c>
      <c r="E16" s="68" t="str">
        <f t="shared" si="1"/>
        <v/>
      </c>
      <c r="F16" s="69"/>
      <c r="G16" s="70" t="str">
        <f t="shared" si="2"/>
        <v>—</v>
      </c>
      <c r="H16" s="71"/>
    </row>
    <row r="17" spans="2:8" ht="21.75" customHeight="1" x14ac:dyDescent="0.2">
      <c r="B17" s="72">
        <v>46173</v>
      </c>
      <c r="C17" s="73"/>
      <c r="D17" s="74" t="str">
        <f t="shared" si="0"/>
        <v>—</v>
      </c>
      <c r="E17" s="75" t="str">
        <f t="shared" si="1"/>
        <v/>
      </c>
      <c r="F17" s="76"/>
      <c r="G17" s="77" t="str">
        <f t="shared" si="2"/>
        <v>—</v>
      </c>
      <c r="H17" s="45"/>
    </row>
    <row r="18" spans="2:8" ht="21.75" customHeight="1" x14ac:dyDescent="0.2">
      <c r="B18" s="65">
        <v>46174</v>
      </c>
      <c r="C18" s="66"/>
      <c r="D18" s="67" t="str">
        <f t="shared" si="0"/>
        <v>—</v>
      </c>
      <c r="E18" s="68" t="str">
        <f t="shared" si="1"/>
        <v/>
      </c>
      <c r="F18" s="69"/>
      <c r="G18" s="70" t="str">
        <f t="shared" si="2"/>
        <v>—</v>
      </c>
      <c r="H18" s="71"/>
    </row>
    <row r="19" spans="2:8" ht="21.75" customHeight="1" x14ac:dyDescent="0.2">
      <c r="B19" s="72">
        <v>46175</v>
      </c>
      <c r="C19" s="73"/>
      <c r="D19" s="74" t="str">
        <f t="shared" si="0"/>
        <v>—</v>
      </c>
      <c r="E19" s="75" t="str">
        <f t="shared" si="1"/>
        <v/>
      </c>
      <c r="F19" s="76"/>
      <c r="G19" s="77" t="str">
        <f t="shared" si="2"/>
        <v>—</v>
      </c>
      <c r="H19" s="45"/>
    </row>
    <row r="20" spans="2:8" ht="21.75" customHeight="1" x14ac:dyDescent="0.2">
      <c r="B20" s="65">
        <v>46176</v>
      </c>
      <c r="C20" s="66"/>
      <c r="D20" s="67" t="str">
        <f t="shared" si="0"/>
        <v>—</v>
      </c>
      <c r="E20" s="68" t="str">
        <f t="shared" si="1"/>
        <v/>
      </c>
      <c r="F20" s="69"/>
      <c r="G20" s="70" t="str">
        <f t="shared" si="2"/>
        <v>—</v>
      </c>
      <c r="H20" s="71"/>
    </row>
    <row r="21" spans="2:8" ht="21.75" customHeight="1" x14ac:dyDescent="0.2">
      <c r="B21" s="72">
        <v>46177</v>
      </c>
      <c r="C21" s="73"/>
      <c r="D21" s="74" t="str">
        <f t="shared" si="0"/>
        <v>—</v>
      </c>
      <c r="E21" s="75" t="str">
        <f t="shared" si="1"/>
        <v/>
      </c>
      <c r="F21" s="76"/>
      <c r="G21" s="77" t="str">
        <f t="shared" si="2"/>
        <v>—</v>
      </c>
      <c r="H21" s="45"/>
    </row>
    <row r="22" spans="2:8" ht="21.75" customHeight="1" x14ac:dyDescent="0.2">
      <c r="B22" s="65">
        <v>46178</v>
      </c>
      <c r="C22" s="66"/>
      <c r="D22" s="67" t="str">
        <f t="shared" si="0"/>
        <v>—</v>
      </c>
      <c r="E22" s="68" t="str">
        <f t="shared" si="1"/>
        <v/>
      </c>
      <c r="F22" s="69"/>
      <c r="G22" s="70" t="str">
        <f t="shared" si="2"/>
        <v>—</v>
      </c>
      <c r="H22" s="71"/>
    </row>
    <row r="23" spans="2:8" ht="21.75" customHeight="1" x14ac:dyDescent="0.2">
      <c r="B23" s="72">
        <v>46179</v>
      </c>
      <c r="C23" s="73"/>
      <c r="D23" s="74" t="str">
        <f t="shared" si="0"/>
        <v>—</v>
      </c>
      <c r="E23" s="75" t="str">
        <f t="shared" si="1"/>
        <v/>
      </c>
      <c r="F23" s="76"/>
      <c r="G23" s="77" t="str">
        <f t="shared" si="2"/>
        <v>—</v>
      </c>
      <c r="H23" s="45"/>
    </row>
    <row r="24" spans="2:8" ht="21.75" customHeight="1" x14ac:dyDescent="0.2">
      <c r="B24" s="65">
        <v>46180</v>
      </c>
      <c r="C24" s="66"/>
      <c r="D24" s="67" t="str">
        <f t="shared" si="0"/>
        <v>—</v>
      </c>
      <c r="E24" s="68" t="str">
        <f t="shared" si="1"/>
        <v/>
      </c>
      <c r="F24" s="69"/>
      <c r="G24" s="70" t="str">
        <f t="shared" si="2"/>
        <v>—</v>
      </c>
      <c r="H24" s="71"/>
    </row>
    <row r="25" spans="2:8" ht="21.75" customHeight="1" x14ac:dyDescent="0.2">
      <c r="B25" s="72">
        <v>46181</v>
      </c>
      <c r="C25" s="73"/>
      <c r="D25" s="74" t="str">
        <f t="shared" si="0"/>
        <v>—</v>
      </c>
      <c r="E25" s="75" t="str">
        <f t="shared" si="1"/>
        <v/>
      </c>
      <c r="F25" s="76"/>
      <c r="G25" s="77" t="str">
        <f t="shared" si="2"/>
        <v>—</v>
      </c>
      <c r="H25" s="45"/>
    </row>
    <row r="26" spans="2:8" ht="21.75" customHeight="1" x14ac:dyDescent="0.2">
      <c r="B26" s="65">
        <v>46182</v>
      </c>
      <c r="C26" s="66"/>
      <c r="D26" s="67" t="str">
        <f t="shared" si="0"/>
        <v>—</v>
      </c>
      <c r="E26" s="68" t="str">
        <f t="shared" si="1"/>
        <v/>
      </c>
      <c r="F26" s="69"/>
      <c r="G26" s="70" t="str">
        <f t="shared" si="2"/>
        <v>—</v>
      </c>
      <c r="H26" s="71"/>
    </row>
    <row r="27" spans="2:8" ht="21.75" customHeight="1" x14ac:dyDescent="0.2">
      <c r="B27" s="72">
        <v>46183</v>
      </c>
      <c r="C27" s="73"/>
      <c r="D27" s="74" t="str">
        <f t="shared" si="0"/>
        <v>—</v>
      </c>
      <c r="E27" s="75" t="str">
        <f t="shared" si="1"/>
        <v/>
      </c>
      <c r="F27" s="76"/>
      <c r="G27" s="77" t="str">
        <f t="shared" si="2"/>
        <v>—</v>
      </c>
      <c r="H27" s="45"/>
    </row>
    <row r="28" spans="2:8" ht="21.75" customHeight="1" x14ac:dyDescent="0.2">
      <c r="B28" s="65">
        <v>46184</v>
      </c>
      <c r="C28" s="66"/>
      <c r="D28" s="67" t="str">
        <f t="shared" si="0"/>
        <v>—</v>
      </c>
      <c r="E28" s="68" t="str">
        <f t="shared" si="1"/>
        <v/>
      </c>
      <c r="F28" s="69"/>
      <c r="G28" s="70" t="str">
        <f t="shared" si="2"/>
        <v>—</v>
      </c>
      <c r="H28" s="71"/>
    </row>
    <row r="29" spans="2:8" ht="21.75" customHeight="1" x14ac:dyDescent="0.2">
      <c r="B29" s="72">
        <v>46185</v>
      </c>
      <c r="C29" s="73"/>
      <c r="D29" s="74" t="str">
        <f t="shared" si="0"/>
        <v>—</v>
      </c>
      <c r="E29" s="75" t="str">
        <f t="shared" si="1"/>
        <v/>
      </c>
      <c r="F29" s="76"/>
      <c r="G29" s="77" t="str">
        <f t="shared" si="2"/>
        <v>—</v>
      </c>
      <c r="H29" s="45"/>
    </row>
    <row r="30" spans="2:8" ht="21.75" customHeight="1" x14ac:dyDescent="0.2">
      <c r="B30" s="65">
        <v>46186</v>
      </c>
      <c r="C30" s="66"/>
      <c r="D30" s="67" t="str">
        <f t="shared" si="0"/>
        <v>—</v>
      </c>
      <c r="E30" s="68" t="str">
        <f t="shared" si="1"/>
        <v/>
      </c>
      <c r="F30" s="69"/>
      <c r="G30" s="70" t="str">
        <f t="shared" si="2"/>
        <v>—</v>
      </c>
      <c r="H30" s="71"/>
    </row>
    <row r="31" spans="2:8" ht="21.75" customHeight="1" x14ac:dyDescent="0.2">
      <c r="B31" s="72">
        <v>46187</v>
      </c>
      <c r="C31" s="73"/>
      <c r="D31" s="74" t="str">
        <f t="shared" si="0"/>
        <v>—</v>
      </c>
      <c r="E31" s="75" t="str">
        <f t="shared" si="1"/>
        <v/>
      </c>
      <c r="F31" s="76"/>
      <c r="G31" s="77" t="str">
        <f t="shared" si="2"/>
        <v>—</v>
      </c>
      <c r="H31" s="45"/>
    </row>
    <row r="32" spans="2:8" ht="21.75" customHeight="1" x14ac:dyDescent="0.2">
      <c r="B32" s="65">
        <v>46188</v>
      </c>
      <c r="C32" s="66"/>
      <c r="D32" s="67" t="str">
        <f t="shared" si="0"/>
        <v>—</v>
      </c>
      <c r="E32" s="68" t="str">
        <f t="shared" si="1"/>
        <v/>
      </c>
      <c r="F32" s="69"/>
      <c r="G32" s="70" t="str">
        <f t="shared" si="2"/>
        <v>—</v>
      </c>
      <c r="H32" s="71"/>
    </row>
    <row r="33" spans="2:8" ht="21.75" customHeight="1" x14ac:dyDescent="0.2">
      <c r="B33" s="72">
        <v>46189</v>
      </c>
      <c r="C33" s="73"/>
      <c r="D33" s="74" t="str">
        <f t="shared" si="0"/>
        <v>—</v>
      </c>
      <c r="E33" s="75" t="str">
        <f t="shared" si="1"/>
        <v/>
      </c>
      <c r="F33" s="76"/>
      <c r="G33" s="77" t="str">
        <f t="shared" si="2"/>
        <v>—</v>
      </c>
      <c r="H33" s="45"/>
    </row>
    <row r="34" spans="2:8" ht="21.75" customHeight="1" x14ac:dyDescent="0.2">
      <c r="B34" s="65">
        <v>46190</v>
      </c>
      <c r="C34" s="66"/>
      <c r="D34" s="67" t="str">
        <f t="shared" si="0"/>
        <v>—</v>
      </c>
      <c r="E34" s="68" t="str">
        <f t="shared" si="1"/>
        <v/>
      </c>
      <c r="F34" s="69"/>
      <c r="G34" s="70" t="str">
        <f t="shared" si="2"/>
        <v>—</v>
      </c>
      <c r="H34" s="71"/>
    </row>
    <row r="35" spans="2:8" ht="21.75" customHeight="1" x14ac:dyDescent="0.2">
      <c r="B35" s="72">
        <v>46191</v>
      </c>
      <c r="C35" s="73"/>
      <c r="D35" s="74" t="str">
        <f t="shared" si="0"/>
        <v>—</v>
      </c>
      <c r="E35" s="75" t="str">
        <f t="shared" si="1"/>
        <v/>
      </c>
      <c r="F35" s="76"/>
      <c r="G35" s="77" t="str">
        <f t="shared" si="2"/>
        <v>—</v>
      </c>
      <c r="H35" s="45"/>
    </row>
    <row r="36" spans="2:8" ht="21.75" customHeight="1" x14ac:dyDescent="0.2">
      <c r="B36" s="65">
        <v>46192</v>
      </c>
      <c r="C36" s="66"/>
      <c r="D36" s="67" t="str">
        <f t="shared" si="0"/>
        <v>—</v>
      </c>
      <c r="E36" s="68" t="str">
        <f t="shared" si="1"/>
        <v/>
      </c>
      <c r="F36" s="69"/>
      <c r="G36" s="70" t="str">
        <f t="shared" si="2"/>
        <v>—</v>
      </c>
      <c r="H36" s="71"/>
    </row>
    <row r="37" spans="2:8" ht="21.75" customHeight="1" x14ac:dyDescent="0.2">
      <c r="B37" s="72">
        <v>46193</v>
      </c>
      <c r="C37" s="73"/>
      <c r="D37" s="74" t="str">
        <f t="shared" si="0"/>
        <v>—</v>
      </c>
      <c r="E37" s="75" t="str">
        <f t="shared" si="1"/>
        <v/>
      </c>
      <c r="F37" s="76"/>
      <c r="G37" s="77" t="str">
        <f t="shared" si="2"/>
        <v>—</v>
      </c>
      <c r="H37" s="45"/>
    </row>
    <row r="38" spans="2:8" ht="21.75" customHeight="1" x14ac:dyDescent="0.2">
      <c r="B38" s="65">
        <v>46194</v>
      </c>
      <c r="C38" s="66"/>
      <c r="D38" s="67" t="str">
        <f t="shared" si="0"/>
        <v>—</v>
      </c>
      <c r="E38" s="68" t="str">
        <f t="shared" si="1"/>
        <v/>
      </c>
      <c r="F38" s="69"/>
      <c r="G38" s="70" t="str">
        <f t="shared" si="2"/>
        <v>—</v>
      </c>
      <c r="H38" s="71"/>
    </row>
    <row r="40" spans="2:8" ht="24" customHeight="1" x14ac:dyDescent="0.2">
      <c r="B40" s="103" t="s">
        <v>76</v>
      </c>
      <c r="C40" s="103"/>
      <c r="D40" s="103"/>
      <c r="E40" s="103"/>
      <c r="F40" s="103"/>
      <c r="G40" s="103"/>
      <c r="H40" s="103"/>
    </row>
    <row r="41" spans="2:8" ht="21.75" customHeight="1" x14ac:dyDescent="0.2">
      <c r="B41" s="79" t="s">
        <v>77</v>
      </c>
      <c r="C41" s="80">
        <f>COUNTIF(D4:D38,"✓ On time")</f>
        <v>0</v>
      </c>
      <c r="D41" s="81"/>
      <c r="E41" s="81"/>
      <c r="F41" s="81"/>
      <c r="G41" s="81"/>
      <c r="H41" s="81"/>
    </row>
    <row r="42" spans="2:8" ht="21.75" customHeight="1" x14ac:dyDescent="0.2">
      <c r="B42" s="79" t="s">
        <v>78</v>
      </c>
      <c r="C42" s="80">
        <f>COUNTIF(D4:D38,"✗ Late")</f>
        <v>0</v>
      </c>
      <c r="D42" s="81"/>
      <c r="E42" s="81"/>
      <c r="F42" s="81"/>
      <c r="G42" s="81"/>
      <c r="H42" s="81"/>
    </row>
    <row r="43" spans="2:8" ht="21.75" customHeight="1" x14ac:dyDescent="0.2">
      <c r="B43" s="79" t="s">
        <v>79</v>
      </c>
      <c r="C43" s="82">
        <f>IFERROR(AVERAGEIF(E4:E38,"&gt;"&amp;0,E4:E38),0)</f>
        <v>0</v>
      </c>
      <c r="D43" s="81"/>
      <c r="E43" s="81"/>
      <c r="F43" s="81"/>
      <c r="G43" s="81"/>
      <c r="H43" s="81"/>
    </row>
    <row r="44" spans="2:8" ht="21.75" customHeight="1" x14ac:dyDescent="0.2">
      <c r="B44" s="79" t="s">
        <v>80</v>
      </c>
      <c r="C44" s="82">
        <f>IFERROR(AVERAGEIF(G4:G38,"&lt;&gt;—",G4:G38),0)</f>
        <v>0</v>
      </c>
      <c r="D44" s="81"/>
      <c r="E44" s="81"/>
      <c r="F44" s="81"/>
      <c r="G44" s="81"/>
      <c r="H44" s="81"/>
    </row>
  </sheetData>
  <mergeCells count="3">
    <mergeCell ref="B1:H1"/>
    <mergeCell ref="B2:H2"/>
    <mergeCell ref="B40:H40"/>
  </mergeCells>
  <conditionalFormatting sqref="D4:D38">
    <cfRule type="cellIs" dxfId="3" priority="2" operator="equal">
      <formula>"✓ On time"</formula>
    </cfRule>
    <cfRule type="cellIs" dxfId="2" priority="3" operator="equal">
      <formula>"✗ Late"</formula>
    </cfRule>
  </conditionalFormatting>
  <conditionalFormatting sqref="E4:E38">
    <cfRule type="colorScale" priority="4">
      <colorScale>
        <cfvo type="num" val="0"/>
        <cfvo type="num" val="60"/>
        <cfvo type="num" val="180"/>
        <color rgb="FFFFFFFF"/>
        <color rgb="FFFFF3CD"/>
        <color rgb="FFFCEBEB"/>
      </colorScale>
    </cfRule>
  </conditionalFormatting>
  <conditionalFormatting sqref="G4:G38">
    <cfRule type="colorScale" priority="5">
      <colorScale>
        <cfvo type="num" val="5"/>
        <cfvo type="num" val="7"/>
        <cfvo type="num" val="9"/>
        <color rgb="FFFCEBEB"/>
        <color rgb="FFFFF3CD"/>
        <color rgb="FFE1F5EE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A7517"/>
  </sheetPr>
  <dimension ref="A1:J25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F5" sqref="F5"/>
    </sheetView>
  </sheetViews>
  <sheetFormatPr baseColWidth="10" defaultColWidth="8.6640625" defaultRowHeight="15" x14ac:dyDescent="0.2"/>
  <cols>
    <col min="1" max="1" width="2.5" customWidth="1"/>
    <col min="2" max="2" width="32" customWidth="1"/>
    <col min="3" max="7" width="12" customWidth="1"/>
    <col min="8" max="8" width="14" customWidth="1"/>
    <col min="9" max="9" width="12" customWidth="1"/>
    <col min="10" max="10" width="14" customWidth="1"/>
  </cols>
  <sheetData>
    <row r="1" spans="1:10" ht="39.75" customHeight="1" x14ac:dyDescent="0.2">
      <c r="A1" s="18"/>
      <c r="B1" s="104" t="s">
        <v>81</v>
      </c>
      <c r="C1" s="104"/>
      <c r="D1" s="104"/>
      <c r="E1" s="104"/>
      <c r="F1" s="104"/>
      <c r="G1" s="104"/>
      <c r="H1" s="104"/>
      <c r="I1" s="104"/>
      <c r="J1" s="104"/>
    </row>
    <row r="2" spans="1:10" ht="21.75" customHeight="1" x14ac:dyDescent="0.2">
      <c r="B2" s="99" t="s">
        <v>82</v>
      </c>
      <c r="C2" s="99"/>
      <c r="D2" s="83" t="s">
        <v>83</v>
      </c>
    </row>
    <row r="3" spans="1:10" ht="24" customHeight="1" x14ac:dyDescent="0.2">
      <c r="B3" s="19" t="s">
        <v>10</v>
      </c>
      <c r="C3" s="19" t="s">
        <v>84</v>
      </c>
      <c r="D3" s="19" t="s">
        <v>85</v>
      </c>
      <c r="E3" s="19" t="s">
        <v>86</v>
      </c>
      <c r="F3" s="19" t="s">
        <v>87</v>
      </c>
      <c r="G3" s="19" t="s">
        <v>88</v>
      </c>
      <c r="H3" s="19" t="s">
        <v>31</v>
      </c>
      <c r="I3" s="19" t="s">
        <v>89</v>
      </c>
      <c r="J3" s="19" t="s">
        <v>17</v>
      </c>
    </row>
    <row r="4" spans="1:10" ht="18" customHeight="1" x14ac:dyDescent="0.2">
      <c r="B4" s="105" t="s">
        <v>48</v>
      </c>
      <c r="C4" s="105"/>
      <c r="D4" s="105"/>
      <c r="E4" s="105"/>
      <c r="F4" s="105"/>
      <c r="G4" s="105"/>
      <c r="H4" s="105"/>
      <c r="I4" s="105"/>
      <c r="J4" s="105"/>
    </row>
    <row r="5" spans="1:10" ht="21.75" customHeight="1" x14ac:dyDescent="0.2">
      <c r="B5" s="43" t="s">
        <v>18</v>
      </c>
      <c r="C5" s="84"/>
      <c r="D5" s="84"/>
      <c r="E5" s="84"/>
      <c r="F5" s="84"/>
      <c r="G5" s="84"/>
      <c r="H5" s="85" t="str">
        <f>IFERROR(AVERAGE(C5:G5),"")</f>
        <v/>
      </c>
      <c r="I5" s="84">
        <v>85</v>
      </c>
      <c r="J5" s="86" t="str">
        <f>IFERROR(H5-I5,"")</f>
        <v/>
      </c>
    </row>
    <row r="6" spans="1:10" ht="21.75" customHeight="1" x14ac:dyDescent="0.2">
      <c r="B6" s="40" t="s">
        <v>19</v>
      </c>
      <c r="C6" s="87"/>
      <c r="D6" s="87"/>
      <c r="E6" s="87"/>
      <c r="F6" s="87"/>
      <c r="G6" s="87"/>
      <c r="H6" s="88" t="str">
        <f>IFERROR(AVERAGE(C6:G6),"")</f>
        <v/>
      </c>
      <c r="I6" s="87">
        <v>85</v>
      </c>
      <c r="J6" s="89" t="str">
        <f>IFERROR(H6-I6,"")</f>
        <v/>
      </c>
    </row>
    <row r="7" spans="1:10" ht="21.75" customHeight="1" x14ac:dyDescent="0.2">
      <c r="B7" s="43" t="s">
        <v>20</v>
      </c>
      <c r="C7" s="84"/>
      <c r="D7" s="84"/>
      <c r="E7" s="84"/>
      <c r="F7" s="84"/>
      <c r="G7" s="84"/>
      <c r="H7" s="85" t="str">
        <f>IFERROR(AVERAGE(C7:G7),"")</f>
        <v/>
      </c>
      <c r="I7" s="84">
        <v>85</v>
      </c>
      <c r="J7" s="86" t="str">
        <f>IFERROR(H7-I7,"")</f>
        <v/>
      </c>
    </row>
    <row r="8" spans="1:10" ht="18" customHeight="1" x14ac:dyDescent="0.2">
      <c r="B8" s="105" t="s">
        <v>52</v>
      </c>
      <c r="C8" s="105"/>
      <c r="D8" s="105"/>
      <c r="E8" s="105"/>
      <c r="F8" s="105"/>
      <c r="G8" s="105"/>
      <c r="H8" s="105"/>
      <c r="I8" s="105"/>
      <c r="J8" s="105"/>
    </row>
    <row r="9" spans="1:10" ht="21.75" customHeight="1" x14ac:dyDescent="0.2">
      <c r="B9" s="43" t="s">
        <v>21</v>
      </c>
      <c r="C9" s="84"/>
      <c r="D9" s="84"/>
      <c r="E9" s="84"/>
      <c r="F9" s="84"/>
      <c r="G9" s="84"/>
      <c r="H9" s="85" t="str">
        <f>IFERROR(AVERAGE(C9:G9),"")</f>
        <v/>
      </c>
      <c r="I9" s="84">
        <v>85</v>
      </c>
      <c r="J9" s="86" t="str">
        <f>IFERROR(H9-I9,"")</f>
        <v/>
      </c>
    </row>
    <row r="10" spans="1:10" ht="21.75" customHeight="1" x14ac:dyDescent="0.2">
      <c r="B10" s="40" t="s">
        <v>32</v>
      </c>
      <c r="C10" s="90"/>
      <c r="D10" s="90"/>
      <c r="E10" s="90"/>
      <c r="F10" s="90"/>
      <c r="G10" s="90"/>
      <c r="H10" s="91" t="str">
        <f>IFERROR(AVERAGE(C10:G10),"")</f>
        <v/>
      </c>
      <c r="I10" s="92" t="s">
        <v>90</v>
      </c>
      <c r="J10" s="92" t="s">
        <v>90</v>
      </c>
    </row>
    <row r="11" spans="1:10" ht="21.75" customHeight="1" x14ac:dyDescent="0.2">
      <c r="B11" s="43" t="s">
        <v>33</v>
      </c>
      <c r="C11" s="93"/>
      <c r="D11" s="93"/>
      <c r="E11" s="93"/>
      <c r="F11" s="93"/>
      <c r="G11" s="93"/>
      <c r="H11" s="94" t="str">
        <f>IFERROR(AVERAGE(C11:G11),"")</f>
        <v/>
      </c>
      <c r="I11" s="95" t="s">
        <v>90</v>
      </c>
      <c r="J11" s="95" t="s">
        <v>90</v>
      </c>
    </row>
    <row r="12" spans="1:10" ht="21.75" customHeight="1" x14ac:dyDescent="0.2">
      <c r="B12" s="40" t="s">
        <v>34</v>
      </c>
      <c r="C12" s="90"/>
      <c r="D12" s="90"/>
      <c r="E12" s="90"/>
      <c r="F12" s="90"/>
      <c r="G12" s="90"/>
      <c r="H12" s="91" t="str">
        <f>IFERROR(AVERAGE(C12:G12),"")</f>
        <v/>
      </c>
      <c r="I12" s="92" t="s">
        <v>90</v>
      </c>
      <c r="J12" s="92" t="s">
        <v>90</v>
      </c>
    </row>
    <row r="13" spans="1:10" ht="18" customHeight="1" x14ac:dyDescent="0.2">
      <c r="B13" s="105" t="s">
        <v>57</v>
      </c>
      <c r="C13" s="105"/>
      <c r="D13" s="105"/>
      <c r="E13" s="105"/>
      <c r="F13" s="105"/>
      <c r="G13" s="105"/>
      <c r="H13" s="105"/>
      <c r="I13" s="105"/>
      <c r="J13" s="105"/>
    </row>
    <row r="14" spans="1:10" ht="21.75" customHeight="1" x14ac:dyDescent="0.2">
      <c r="B14" s="40" t="s">
        <v>22</v>
      </c>
      <c r="C14" s="87"/>
      <c r="D14" s="87"/>
      <c r="E14" s="87"/>
      <c r="F14" s="87"/>
      <c r="G14" s="87"/>
      <c r="H14" s="88" t="str">
        <f>IFERROR(AVERAGE(C14:G14),"")</f>
        <v/>
      </c>
      <c r="I14" s="87">
        <v>85</v>
      </c>
      <c r="J14" s="89" t="str">
        <f>IFERROR(H14-I14,"")</f>
        <v/>
      </c>
    </row>
    <row r="15" spans="1:10" ht="21.75" customHeight="1" x14ac:dyDescent="0.2">
      <c r="B15" s="43" t="s">
        <v>23</v>
      </c>
      <c r="C15" s="84"/>
      <c r="D15" s="84"/>
      <c r="E15" s="84"/>
      <c r="F15" s="84"/>
      <c r="G15" s="84"/>
      <c r="H15" s="85" t="str">
        <f>IFERROR(AVERAGE(C15:G15),"")</f>
        <v/>
      </c>
      <c r="I15" s="84">
        <v>85</v>
      </c>
      <c r="J15" s="86" t="str">
        <f>IFERROR(H15-I15,"")</f>
        <v/>
      </c>
    </row>
    <row r="16" spans="1:10" ht="18" customHeight="1" x14ac:dyDescent="0.2">
      <c r="B16" s="105" t="s">
        <v>58</v>
      </c>
      <c r="C16" s="105"/>
      <c r="D16" s="105"/>
      <c r="E16" s="105"/>
      <c r="F16" s="105"/>
      <c r="G16" s="105"/>
      <c r="H16" s="105"/>
      <c r="I16" s="105"/>
      <c r="J16" s="105"/>
    </row>
    <row r="17" spans="2:10" ht="21.75" customHeight="1" x14ac:dyDescent="0.2">
      <c r="B17" s="43" t="s">
        <v>24</v>
      </c>
      <c r="C17" s="84"/>
      <c r="D17" s="84"/>
      <c r="E17" s="84"/>
      <c r="F17" s="84"/>
      <c r="G17" s="84"/>
      <c r="H17" s="85" t="str">
        <f>IFERROR(AVERAGE(C17:G17),"")</f>
        <v/>
      </c>
      <c r="I17" s="84">
        <v>85</v>
      </c>
      <c r="J17" s="86" t="str">
        <f>IFERROR(H17-I17,"")</f>
        <v/>
      </c>
    </row>
    <row r="18" spans="2:10" ht="21.75" customHeight="1" x14ac:dyDescent="0.2">
      <c r="B18" s="40" t="s">
        <v>25</v>
      </c>
      <c r="C18" s="87"/>
      <c r="D18" s="87"/>
      <c r="E18" s="87"/>
      <c r="F18" s="87"/>
      <c r="G18" s="87"/>
      <c r="H18" s="88" t="str">
        <f>IFERROR(AVERAGE(C18:G18),"")</f>
        <v/>
      </c>
      <c r="I18" s="87">
        <v>85</v>
      </c>
      <c r="J18" s="89" t="str">
        <f>IFERROR(H18-I18,"")</f>
        <v/>
      </c>
    </row>
    <row r="19" spans="2:10" ht="21.75" customHeight="1" x14ac:dyDescent="0.2">
      <c r="B19" s="43" t="s">
        <v>26</v>
      </c>
      <c r="C19" s="84"/>
      <c r="D19" s="84"/>
      <c r="E19" s="84"/>
      <c r="F19" s="84"/>
      <c r="G19" s="84"/>
      <c r="H19" s="85" t="str">
        <f>IFERROR(AVERAGE(C19:G19),"")</f>
        <v/>
      </c>
      <c r="I19" s="84">
        <v>85</v>
      </c>
      <c r="J19" s="86" t="str">
        <f>IFERROR(H19-I19,"")</f>
        <v/>
      </c>
    </row>
    <row r="20" spans="2:10" ht="21.75" customHeight="1" x14ac:dyDescent="0.2">
      <c r="B20" s="40" t="s">
        <v>27</v>
      </c>
      <c r="C20" s="87"/>
      <c r="D20" s="87"/>
      <c r="E20" s="87"/>
      <c r="F20" s="87"/>
      <c r="G20" s="87"/>
      <c r="H20" s="88" t="str">
        <f>IFERROR(AVERAGE(C20:G20),"")</f>
        <v/>
      </c>
      <c r="I20" s="87">
        <v>85</v>
      </c>
      <c r="J20" s="89" t="str">
        <f>IFERROR(H20-I20,"")</f>
        <v/>
      </c>
    </row>
    <row r="21" spans="2:10" ht="18" customHeight="1" x14ac:dyDescent="0.2">
      <c r="B21" s="105" t="s">
        <v>59</v>
      </c>
      <c r="C21" s="105"/>
      <c r="D21" s="105"/>
      <c r="E21" s="105"/>
      <c r="F21" s="105"/>
      <c r="G21" s="105"/>
      <c r="H21" s="105"/>
      <c r="I21" s="105"/>
      <c r="J21" s="105"/>
    </row>
    <row r="22" spans="2:10" ht="21.75" customHeight="1" x14ac:dyDescent="0.2">
      <c r="B22" s="40" t="s">
        <v>28</v>
      </c>
      <c r="C22" s="87"/>
      <c r="D22" s="87"/>
      <c r="E22" s="87"/>
      <c r="F22" s="87"/>
      <c r="G22" s="87"/>
      <c r="H22" s="88" t="str">
        <f>IFERROR(AVERAGE(C22:G22),"")</f>
        <v/>
      </c>
      <c r="I22" s="87">
        <v>85</v>
      </c>
      <c r="J22" s="89" t="str">
        <f>IFERROR(H22-I22,"")</f>
        <v/>
      </c>
    </row>
    <row r="23" spans="2:10" ht="21.75" customHeight="1" x14ac:dyDescent="0.2">
      <c r="B23" s="43" t="s">
        <v>35</v>
      </c>
      <c r="C23" s="93"/>
      <c r="D23" s="93"/>
      <c r="E23" s="93"/>
      <c r="F23" s="93"/>
      <c r="G23" s="93"/>
      <c r="H23" s="94" t="str">
        <f>IFERROR(AVERAGE(C23:G23),"")</f>
        <v/>
      </c>
      <c r="I23" s="95" t="s">
        <v>90</v>
      </c>
      <c r="J23" s="95" t="s">
        <v>90</v>
      </c>
    </row>
    <row r="25" spans="2:10" ht="27.75" customHeight="1" x14ac:dyDescent="0.2">
      <c r="B25" s="97" t="s">
        <v>91</v>
      </c>
      <c r="C25" s="97"/>
      <c r="D25" s="97"/>
      <c r="E25" s="97"/>
      <c r="F25" s="97"/>
      <c r="G25" s="97"/>
      <c r="H25" s="97"/>
      <c r="I25" s="97"/>
      <c r="J25" s="97"/>
    </row>
  </sheetData>
  <mergeCells count="8">
    <mergeCell ref="B16:J16"/>
    <mergeCell ref="B21:J21"/>
    <mergeCell ref="B25:J25"/>
    <mergeCell ref="B1:J1"/>
    <mergeCell ref="B2:C2"/>
    <mergeCell ref="B4:J4"/>
    <mergeCell ref="B8:J8"/>
    <mergeCell ref="B13:J13"/>
  </mergeCells>
  <conditionalFormatting sqref="H4:H23">
    <cfRule type="colorScale" priority="2">
      <colorScale>
        <cfvo type="num" val="0"/>
        <cfvo type="num" val="60"/>
        <cfvo type="num" val="100"/>
        <color rgb="FFFCEBEB"/>
        <color rgb="FFFFF3CD"/>
        <color rgb="FFE1F5EE"/>
      </colorScale>
    </cfRule>
  </conditionalFormatting>
  <conditionalFormatting sqref="J4:J23">
    <cfRule type="expression" dxfId="1" priority="3">
      <formula>J4&lt;0</formula>
    </cfRule>
    <cfRule type="expression" dxfId="0" priority="4">
      <formula>J4&gt;0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Weekly Log</vt:lpstr>
      <vt:lpstr>Sleep Tracker</vt:lpstr>
      <vt:lpstr>Monthly Rollup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Gnanasekar Arumugachamy</cp:lastModifiedBy>
  <cp:revision>0</cp:revision>
  <dcterms:created xsi:type="dcterms:W3CDTF">2026-05-24T07:45:52Z</dcterms:created>
  <dcterms:modified xsi:type="dcterms:W3CDTF">2026-05-24T11:26:14Z</dcterms:modified>
  <dc:language>en-US</dc:language>
</cp:coreProperties>
</file>